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stablishments" sheetId="1" state="visible" r:id="rId3"/>
    <sheet name="Singapore_Postal_Lookup" sheetId="2" state="visible" r:id="rId4"/>
    <sheet name="Lists" sheetId="3" state="visible" r:id="rId5"/>
    <sheet name="Licenc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<sst xmlns="http://schemas.openxmlformats.org/spreadsheetml/2006/main" count="4073" uniqueCount="1251">
  <si>
    <t xml:space="preserve">ID</t>
  </si>
  <si>
    <t xml:space="preserve">Name</t>
  </si>
  <si>
    <t xml:space="preserve">Country</t>
  </si>
  <si>
    <t xml:space="preserve">Address</t>
  </si>
  <si>
    <t xml:space="preserve">Postal Code</t>
  </si>
  <si>
    <t xml:space="preserve">Postal Prefix</t>
  </si>
  <si>
    <t xml:space="preserve">Area / Prefecture Override</t>
  </si>
  <si>
    <t xml:space="preserve">Area / Prefecture</t>
  </si>
  <si>
    <t xml:space="preserve">Postal Sector</t>
  </si>
  <si>
    <t xml:space="preserve">Postal District</t>
  </si>
  <si>
    <t xml:space="preserve">Cuisine</t>
  </si>
  <si>
    <t xml:space="preserve">Establishment Type</t>
  </si>
  <si>
    <t xml:space="preserve">Latitude</t>
  </si>
  <si>
    <t xml:space="preserve">Longitude</t>
  </si>
  <si>
    <t xml:space="preserve">Listing Status</t>
  </si>
  <si>
    <t xml:space="preserve">Basis of Listing</t>
  </si>
  <si>
    <t xml:space="preserve">Halal Certified</t>
  </si>
  <si>
    <t xml:space="preserve">Certification Status</t>
  </si>
  <si>
    <t xml:space="preserve">Certifying Body</t>
  </si>
  <si>
    <t xml:space="preserve">Certificate Expiry</t>
  </si>
  <si>
    <t xml:space="preserve">No Pork Declared</t>
  </si>
  <si>
    <t xml:space="preserve">No Lard Declared</t>
  </si>
  <si>
    <t xml:space="preserve">Halal-Certified Meat</t>
  </si>
  <si>
    <t xml:space="preserve">Alcohol Served</t>
  </si>
  <si>
    <t xml:space="preserve">Alcohol in Menu</t>
  </si>
  <si>
    <t xml:space="preserve">Shared Kitchen</t>
  </si>
  <si>
    <t xml:space="preserve">Shared Utensils</t>
  </si>
  <si>
    <t xml:space="preserve">Shared Fryer</t>
  </si>
  <si>
    <t xml:space="preserve">Shared Grill</t>
  </si>
  <si>
    <t xml:space="preserve">Prayer Space</t>
  </si>
  <si>
    <t xml:space="preserve">Prayer Mat</t>
  </si>
  <si>
    <t xml:space="preserve">Qibla Direction</t>
  </si>
  <si>
    <t xml:space="preserve">Water Facilities</t>
  </si>
  <si>
    <t xml:space="preserve">Declaration Text Override</t>
  </si>
  <si>
    <t xml:space="preserve">Declaration Text</t>
  </si>
  <si>
    <t xml:space="preserve">Cross-Contact Note</t>
  </si>
  <si>
    <t xml:space="preserve">Additional Notes</t>
  </si>
  <si>
    <t xml:space="preserve">Declaration Date</t>
  </si>
  <si>
    <t xml:space="preserve">Last Updated</t>
  </si>
  <si>
    <t xml:space="preserve">Website URL</t>
  </si>
  <si>
    <t xml:space="preserve">Instagram URL</t>
  </si>
  <si>
    <t xml:space="preserve">Location URL</t>
  </si>
  <si>
    <t xml:space="preserve">Directions URL</t>
  </si>
  <si>
    <t xml:space="preserve">Reviews URL</t>
  </si>
  <si>
    <t xml:space="preserve">Image URL</t>
  </si>
  <si>
    <t xml:space="preserve">Is Demo</t>
  </si>
  <si>
    <t xml:space="preserve">Demo Disclaimer</t>
  </si>
  <si>
    <t xml:space="preserve">Data Completeness</t>
  </si>
  <si>
    <t xml:space="preserve">Map Ready</t>
  </si>
  <si>
    <t xml:space="preserve">Record Validation</t>
  </si>
  <si>
    <t xml:space="preserve">com-9bccb436</t>
  </si>
  <si>
    <t xml:space="preserve">4Fingers Crispy Chicken</t>
  </si>
  <si>
    <t xml:space="preserve">Singapore</t>
  </si>
  <si>
    <t xml:space="preserve">601 Balestier Road</t>
  </si>
  <si>
    <t xml:space="preserve">329903</t>
  </si>
  <si>
    <t xml:space="preserve">Toa Payoh</t>
  </si>
  <si>
    <t xml:space="preserve">S12</t>
  </si>
  <si>
    <t xml:space="preserve">D12</t>
  </si>
  <si>
    <t xml:space="preserve">Chicken</t>
  </si>
  <si>
    <t xml:space="preserve">Restaurant</t>
  </si>
  <si>
    <t xml:space="preserve">Community suggested — not verified</t>
  </si>
  <si>
    <t xml:space="preserve">OpenStreetMap contributors report that this place serves only halal food. This has not been verified, the establishment has not made a declaration, and it is not evidence of halal certification.</t>
  </si>
  <si>
    <t xml:space="preserve">Not verified — community-suggested</t>
  </si>
  <si>
    <t xml:space="preserve">No declaration has been submitted. Contact the establishment directly.</t>
  </si>
  <si>
    <t xml:space="preserve">Source: OpenStreetMap (© OpenStreetMap contributors, ODbL). OSM record last updated 2026-06-06. Postal code from OneMap, Singapore Land Authority, under the Singapore Open Data Licence v1.0.</t>
  </si>
  <si>
    <t xml:space="preserve">2026-10-16</t>
  </si>
  <si>
    <t xml:space="preserve">FALSE</t>
  </si>
  <si>
    <t xml:space="preserve">com-e91d6fd1</t>
  </si>
  <si>
    <t xml:space="preserve">1 Pasir Ris Central Street 3</t>
  </si>
  <si>
    <t xml:space="preserve">518457</t>
  </si>
  <si>
    <t xml:space="preserve">Tampines</t>
  </si>
  <si>
    <t xml:space="preserve">S18</t>
  </si>
  <si>
    <t xml:space="preserve">D18</t>
  </si>
  <si>
    <t xml:space="preserve">OpenStreetMap contributors report that halal food is available here. This has not been verified, the establishment has not made a declaration, and it is not evidence of halal certification.</t>
  </si>
  <si>
    <t xml:space="preserve">Source: OpenStreetMap (© OpenStreetMap contributors, ODbL). OSM record last updated 2025-03-04.</t>
  </si>
  <si>
    <t xml:space="preserve">https://www.4fingers.com.sg/</t>
  </si>
  <si>
    <t xml:space="preserve">com-4b720632</t>
  </si>
  <si>
    <t xml:space="preserve">7 Pasir Ris Central</t>
  </si>
  <si>
    <t xml:space="preserve">519612</t>
  </si>
  <si>
    <t xml:space="preserve">Source: OpenStreetMap (© OpenStreetMap contributors, ODbL). OSM record last updated 2024-08-29.</t>
  </si>
  <si>
    <t xml:space="preserve">com-f0b8ee20</t>
  </si>
  <si>
    <t xml:space="preserve">#01-39/40 Tampines 1</t>
  </si>
  <si>
    <t xml:space="preserve">Source: OpenStreetMap (© OpenStreetMap contributors, ODbL). OSM record last updated 2025-02-07.</t>
  </si>
  <si>
    <t xml:space="preserve">com-5eadf3bc</t>
  </si>
  <si>
    <t xml:space="preserve">97 Nasi Lemak</t>
  </si>
  <si>
    <t xml:space="preserve">2 Senja Close, #02-03</t>
  </si>
  <si>
    <t xml:space="preserve">677632</t>
  </si>
  <si>
    <t xml:space="preserve">Bukit Panjang</t>
  </si>
  <si>
    <t xml:space="preserve">S23</t>
  </si>
  <si>
    <t xml:space="preserve">D23</t>
  </si>
  <si>
    <t xml:space="preserve">Malaysian</t>
  </si>
  <si>
    <t xml:space="preserve">Source: OpenStreetMap (© OpenStreetMap contributors, ODbL). OSM record last updated 2026-09-19. Postal code from OneMap, Singapore Land Authority, under the Singapore Open Data Licence v1.0.</t>
  </si>
  <si>
    <t xml:space="preserve">com-00cc4591</t>
  </si>
  <si>
    <t xml:space="preserve">ABC King Pte. Ltd.</t>
  </si>
  <si>
    <t xml:space="preserve">101 Lavender Street</t>
  </si>
  <si>
    <t xml:space="preserve">338724</t>
  </si>
  <si>
    <t xml:space="preserve">Indian, Malaysian, Thai</t>
  </si>
  <si>
    <t xml:space="preserve">Source: OpenStreetMap (© OpenStreetMap contributors, ODbL). OSM record last updated 2023-08-04. Postal code from OneMap, Singapore Land Authority, under the Singapore Open Data Licence v1.0.</t>
  </si>
  <si>
    <t xml:space="preserve">com-963dcc29</t>
  </si>
  <si>
    <t xml:space="preserve">ABC Maju Restaurant</t>
  </si>
  <si>
    <t xml:space="preserve">230 Balestier Road</t>
  </si>
  <si>
    <t xml:space="preserve">329692</t>
  </si>
  <si>
    <t xml:space="preserve">Indian</t>
  </si>
  <si>
    <t xml:space="preserve">Source: OpenStreetMap (© OpenStreetMap contributors, ODbL). OSM record last updated 2024-01-16. Postal code from OneMap, Singapore Land Authority, under the Singapore Open Data Licence v1.0.</t>
  </si>
  <si>
    <t xml:space="preserve">com-755c9bbb</t>
  </si>
  <si>
    <t xml:space="preserve">Adam Food Centre</t>
  </si>
  <si>
    <t xml:space="preserve">2 Adam Road</t>
  </si>
  <si>
    <t xml:space="preserve">289876</t>
  </si>
  <si>
    <t xml:space="preserve">Novena</t>
  </si>
  <si>
    <t xml:space="preserve">S11</t>
  </si>
  <si>
    <t xml:space="preserve">D11</t>
  </si>
  <si>
    <t xml:space="preserve">Regional</t>
  </si>
  <si>
    <t xml:space="preserve">Food Court</t>
  </si>
  <si>
    <t xml:space="preserve">OpenStreetMap contributors report that halal food is available at this food centre or coffee shop. This does not mean every stall is halal: check each stall's own certificate or declaration. This has not been verified, the establishment has not made a declaration, and it is not evidence of halal certification.</t>
  </si>
  <si>
    <t xml:space="preserve">Source: OpenStreetMap (© OpenStreetMap contributors, ODbL). OSM record last updated 2024-10-12.</t>
  </si>
  <si>
    <t xml:space="preserve">com-9ec46b3c</t>
  </si>
  <si>
    <t xml:space="preserve">Adam's Corner Seafood Restaurant</t>
  </si>
  <si>
    <t xml:space="preserve">324 Lavender Street</t>
  </si>
  <si>
    <t xml:space="preserve">338822</t>
  </si>
  <si>
    <t xml:space="preserve">Indian, Seafood</t>
  </si>
  <si>
    <t xml:space="preserve">Source: OpenStreetMap (© OpenStreetMap contributors, ODbL). OSM record last updated 2024-02-28. Postal code from OneMap, Singapore Land Authority, under the Singapore Open Data Licence v1.0.</t>
  </si>
  <si>
    <t xml:space="preserve">com-66832548</t>
  </si>
  <si>
    <t xml:space="preserve">Adinda by Gerai Nenek Obek</t>
  </si>
  <si>
    <t xml:space="preserve">Malay</t>
  </si>
  <si>
    <t xml:space="preserve">https://www.instagram.com/gerainenekobek/</t>
  </si>
  <si>
    <t xml:space="preserve">com-7a5eb40e</t>
  </si>
  <si>
    <t xml:space="preserve">Afghanistan Family Restaurant</t>
  </si>
  <si>
    <t xml:space="preserve">201E Tampines Street 23</t>
  </si>
  <si>
    <t xml:space="preserve">527201</t>
  </si>
  <si>
    <t xml:space="preserve">Asian</t>
  </si>
  <si>
    <t xml:space="preserve">Source: OpenStreetMap (© OpenStreetMap contributors, ODbL). OSM record last updated 2025-03-27.</t>
  </si>
  <si>
    <t xml:space="preserve">com-67251f13</t>
  </si>
  <si>
    <t xml:space="preserve">Ah Meng Restaurant</t>
  </si>
  <si>
    <t xml:space="preserve">80 Mandai Lake Road</t>
  </si>
  <si>
    <t xml:space="preserve">Local, Indian, Chinese, Japanese</t>
  </si>
  <si>
    <t xml:space="preserve">Source: OpenStreetMap (© OpenStreetMap contributors, ODbL). OSM record last updated 2025-03-15.</t>
  </si>
  <si>
    <t xml:space="preserve">com-6ba37a4c</t>
  </si>
  <si>
    <t xml:space="preserve">Al Ameen@Hillview</t>
  </si>
  <si>
    <t xml:space="preserve">5 Chu Lin Road</t>
  </si>
  <si>
    <t xml:space="preserve">669893</t>
  </si>
  <si>
    <t xml:space="preserve">Choa Chu Kang</t>
  </si>
  <si>
    <t xml:space="preserve">Indian, Malaysian</t>
  </si>
  <si>
    <t xml:space="preserve">Source: OpenStreetMap (© OpenStreetMap contributors, ODbL). OSM record last updated 2023-10-09.</t>
  </si>
  <si>
    <t xml:space="preserve">com-0d049b46</t>
  </si>
  <si>
    <t xml:space="preserve">Al Bismi</t>
  </si>
  <si>
    <t xml:space="preserve">25 Perak Road</t>
  </si>
  <si>
    <t xml:space="preserve">Source: OpenStreetMap (© OpenStreetMap contributors, ODbL). OSM record last updated 2024-12-05.</t>
  </si>
  <si>
    <t xml:space="preserve">com-36c2489a</t>
  </si>
  <si>
    <t xml:space="preserve">Al Jemi Restaurant</t>
  </si>
  <si>
    <t xml:space="preserve">1009 Serangoon Road</t>
  </si>
  <si>
    <t xml:space="preserve">328169</t>
  </si>
  <si>
    <t xml:space="preserve">Source: OpenStreetMap (© OpenStreetMap contributors, ODbL). OSM record last updated 2024-06-12. Postal code from OneMap, Singapore Land Authority, under the Singapore Open Data Licence v1.0.</t>
  </si>
  <si>
    <t xml:space="preserve">com-57bae329</t>
  </si>
  <si>
    <t xml:space="preserve">Al Mubin Restaurant</t>
  </si>
  <si>
    <t xml:space="preserve">631 #01-928 Bedok Reservoir Road</t>
  </si>
  <si>
    <t xml:space="preserve">470631</t>
  </si>
  <si>
    <t xml:space="preserve">Bedok</t>
  </si>
  <si>
    <t xml:space="preserve">S16</t>
  </si>
  <si>
    <t xml:space="preserve">D16</t>
  </si>
  <si>
    <t xml:space="preserve">Indian Muslim, Thai Seafood, Western</t>
  </si>
  <si>
    <t xml:space="preserve">Source: OpenStreetMap (© OpenStreetMap contributors, ODbL). OSM record last updated 2026-05-28.</t>
  </si>
  <si>
    <t xml:space="preserve">com-309aad0a</t>
  </si>
  <si>
    <t xml:space="preserve">1 #01-2018 Changi Village Road</t>
  </si>
  <si>
    <t xml:space="preserve">500001</t>
  </si>
  <si>
    <t xml:space="preserve">Changi</t>
  </si>
  <si>
    <t xml:space="preserve">S17</t>
  </si>
  <si>
    <t xml:space="preserve">D17</t>
  </si>
  <si>
    <t xml:space="preserve">Indian, Muslim</t>
  </si>
  <si>
    <t xml:space="preserve">Source: OpenStreetMap (© OpenStreetMap contributors, ODbL). OSM record last updated 2026-08-19. Postal code from OneMap, Singapore Land Authority, under the Singapore Open Data Licence v1.0.</t>
  </si>
  <si>
    <t xml:space="preserve">com-b255ae42</t>
  </si>
  <si>
    <t xml:space="preserve">Al-Azhar</t>
  </si>
  <si>
    <t xml:space="preserve">11 Cheong Chin Nam Road</t>
  </si>
  <si>
    <t xml:space="preserve">599736</t>
  </si>
  <si>
    <t xml:space="preserve">West Coast</t>
  </si>
  <si>
    <t xml:space="preserve">S21</t>
  </si>
  <si>
    <t xml:space="preserve">D21</t>
  </si>
  <si>
    <t xml:space="preserve">Source: OpenStreetMap (© OpenStreetMap contributors, ODbL). OSM record last updated 2025-06-01.</t>
  </si>
  <si>
    <t xml:space="preserve">https://al-azhar.com/</t>
  </si>
  <si>
    <t xml:space="preserve">com-fc31f1e4</t>
  </si>
  <si>
    <t xml:space="preserve">Al-Tasneem</t>
  </si>
  <si>
    <t xml:space="preserve">786 North Bridge Road</t>
  </si>
  <si>
    <t xml:space="preserve">Source: OpenStreetMap (© OpenStreetMap contributors, ODbL). OSM record last updated 2023-12-17.</t>
  </si>
  <si>
    <t xml:space="preserve">com-e3a4ff34</t>
  </si>
  <si>
    <t xml:space="preserve">Ali Khan</t>
  </si>
  <si>
    <t xml:space="preserve">508 MacPherson Road</t>
  </si>
  <si>
    <t xml:space="preserve">368207</t>
  </si>
  <si>
    <t xml:space="preserve">Braddell</t>
  </si>
  <si>
    <t xml:space="preserve">S13</t>
  </si>
  <si>
    <t xml:space="preserve">D13</t>
  </si>
  <si>
    <t xml:space="preserve">Source: OpenStreetMap (© OpenStreetMap contributors, ODbL). OSM record last updated 2023-08-15.</t>
  </si>
  <si>
    <t xml:space="preserve">com-ba90f9fe</t>
  </si>
  <si>
    <t xml:space="preserve">Alter Ego (#01-13D)</t>
  </si>
  <si>
    <t xml:space="preserve">039802</t>
  </si>
  <si>
    <t xml:space="preserve">City Centre</t>
  </si>
  <si>
    <t xml:space="preserve">S1</t>
  </si>
  <si>
    <t xml:space="preserve">D1</t>
  </si>
  <si>
    <t xml:space="preserve">American</t>
  </si>
  <si>
    <t xml:space="preserve">Café</t>
  </si>
  <si>
    <t xml:space="preserve">Source: OpenStreetMap (© OpenStreetMap contributors, ODbL). OSM record last updated 2022-12-26.</t>
  </si>
  <si>
    <t xml:space="preserve">com-3b192d4f</t>
  </si>
  <si>
    <t xml:space="preserve">Andes by Astons</t>
  </si>
  <si>
    <t xml:space="preserve">#01-96 IMM</t>
  </si>
  <si>
    <t xml:space="preserve">Source: OpenStreetMap (© OpenStreetMap contributors, ODbL). OSM record last updated 2026-08-28.</t>
  </si>
  <si>
    <t xml:space="preserve">com-89f22afe</t>
  </si>
  <si>
    <t xml:space="preserve">Annie’s Halal Cuisine</t>
  </si>
  <si>
    <t xml:space="preserve">90 Whampoa Drive, #01-73</t>
  </si>
  <si>
    <t xml:space="preserve">320090</t>
  </si>
  <si>
    <t xml:space="preserve">Source: OpenStreetMap (© OpenStreetMap contributors, ODbL). OSM record last updated 2024-04-14. Postal code from OneMap, Singapore Land Authority, under the Singapore Open Data Licence v1.0.</t>
  </si>
  <si>
    <t xml:space="preserve">com-4ffbd41c</t>
  </si>
  <si>
    <t xml:space="preserve">Ashes Burnnit</t>
  </si>
  <si>
    <t xml:space="preserve">120 Jalan Bukit Merah, #01-61</t>
  </si>
  <si>
    <t xml:space="preserve">150120</t>
  </si>
  <si>
    <t xml:space="preserve">Pasir Panjang</t>
  </si>
  <si>
    <t xml:space="preserve">S5</t>
  </si>
  <si>
    <t xml:space="preserve">D5</t>
  </si>
  <si>
    <t xml:space="preserve">Western, Burger</t>
  </si>
  <si>
    <t xml:space="preserve">Source: OpenStreetMap (© OpenStreetMap contributors, ODbL). OSM record last updated 2025-07-15.</t>
  </si>
  <si>
    <t xml:space="preserve">https://www.ashessg.com/alexandra-food-village</t>
  </si>
  <si>
    <t xml:space="preserve">com-f44c5a7a</t>
  </si>
  <si>
    <t xml:space="preserve">Ask Coffee Roastery</t>
  </si>
  <si>
    <t xml:space="preserve">32 Seah Street</t>
  </si>
  <si>
    <t xml:space="preserve">188388</t>
  </si>
  <si>
    <t xml:space="preserve">Beach Road</t>
  </si>
  <si>
    <t xml:space="preserve">S7</t>
  </si>
  <si>
    <t xml:space="preserve">D7</t>
  </si>
  <si>
    <t xml:space="preserve">Coffee Shop</t>
  </si>
  <si>
    <t xml:space="preserve">Source: OpenStreetMap (© OpenStreetMap contributors, ODbL). OSM record last updated 2025-09-18.</t>
  </si>
  <si>
    <t xml:space="preserve">https://akusukakopi.com/</t>
  </si>
  <si>
    <t xml:space="preserve">com-cd8ea8f5</t>
  </si>
  <si>
    <t xml:space="preserve">Banchong Cafe</t>
  </si>
  <si>
    <t xml:space="preserve">1 Kallang Junction, #01-02, Vanguard Campus</t>
  </si>
  <si>
    <t xml:space="preserve">339263</t>
  </si>
  <si>
    <t xml:space="preserve">Source: OpenStreetMap (© OpenStreetMap contributors, ODbL). OSM record last updated 2024-05-12.</t>
  </si>
  <si>
    <t xml:space="preserve">https://www.banchong.sg/</t>
  </si>
  <si>
    <t xml:space="preserve">com-21b30c12</t>
  </si>
  <si>
    <t xml:space="preserve">Bara Indonesia Grilled Rice</t>
  </si>
  <si>
    <t xml:space="preserve">16 Enggor Street, #01-10, Icon Village Extension</t>
  </si>
  <si>
    <t xml:space="preserve">079717</t>
  </si>
  <si>
    <t xml:space="preserve">Tanjong Pagar</t>
  </si>
  <si>
    <t xml:space="preserve">S2</t>
  </si>
  <si>
    <t xml:space="preserve">D2</t>
  </si>
  <si>
    <t xml:space="preserve">Indonesian</t>
  </si>
  <si>
    <t xml:space="preserve">Source: OpenStreetMap (© OpenStreetMap contributors, ODbL). OSM record last updated 2025-10-24.</t>
  </si>
  <si>
    <t xml:space="preserve">com-ce4d7997</t>
  </si>
  <si>
    <t xml:space="preserve">Beauty World Bakery</t>
  </si>
  <si>
    <t xml:space="preserve">2A Jalan Seh Chuan, #01-76</t>
  </si>
  <si>
    <t xml:space="preserve">599213</t>
  </si>
  <si>
    <t xml:space="preserve">Bakery</t>
  </si>
  <si>
    <t xml:space="preserve">Source: OpenStreetMap (© OpenStreetMap contributors, ODbL). OSM record last updated 2026-06-13.</t>
  </si>
  <si>
    <t xml:space="preserve">com-3682359c</t>
  </si>
  <si>
    <t xml:space="preserve">Bismillah Biryani</t>
  </si>
  <si>
    <t xml:space="preserve">50 Nanyang Avenue</t>
  </si>
  <si>
    <t xml:space="preserve">639798</t>
  </si>
  <si>
    <t xml:space="preserve">Jurong</t>
  </si>
  <si>
    <t xml:space="preserve">S22</t>
  </si>
  <si>
    <t xml:space="preserve">D22</t>
  </si>
  <si>
    <t xml:space="preserve">Source: OpenStreetMap (© OpenStreetMap contributors, ODbL). OSM record last updated 2025-09-04.</t>
  </si>
  <si>
    <t xml:space="preserve">com-ad89df3d</t>
  </si>
  <si>
    <t xml:space="preserve">Bobmi</t>
  </si>
  <si>
    <t xml:space="preserve">825 Tampines Street 81</t>
  </si>
  <si>
    <t xml:space="preserve">520825</t>
  </si>
  <si>
    <t xml:space="preserve">Asian, Indonesian</t>
  </si>
  <si>
    <t xml:space="preserve">Source: OpenStreetMap (© OpenStreetMap contributors, ODbL). OSM record last updated 2025-07-05. Postal code from OneMap, Singapore Land Authority, under the Singapore Open Data Licence v1.0.</t>
  </si>
  <si>
    <t xml:space="preserve">com-6cdf593c</t>
  </si>
  <si>
    <t xml:space="preserve">Bungkus</t>
  </si>
  <si>
    <t xml:space="preserve">20 Joo Chiat Road</t>
  </si>
  <si>
    <t xml:space="preserve">427357</t>
  </si>
  <si>
    <t xml:space="preserve">Katong</t>
  </si>
  <si>
    <t xml:space="preserve">S15</t>
  </si>
  <si>
    <t xml:space="preserve">D15</t>
  </si>
  <si>
    <t xml:space="preserve">Source: OpenStreetMap (© OpenStreetMap contributors, ODbL). OSM record last updated 2026-05-12. Postal code from OneMap, Singapore Land Authority, under the Singapore Open Data Licence v1.0.</t>
  </si>
  <si>
    <t xml:space="preserve">https://hjmaimunah.com/</t>
  </si>
  <si>
    <t xml:space="preserve">com-d22bd224</t>
  </si>
  <si>
    <t xml:space="preserve">Burger King</t>
  </si>
  <si>
    <t xml:space="preserve">360 Balestier Road</t>
  </si>
  <si>
    <t xml:space="preserve">329783</t>
  </si>
  <si>
    <t xml:space="preserve">Burger</t>
  </si>
  <si>
    <t xml:space="preserve">com-9be9781e</t>
  </si>
  <si>
    <t xml:space="preserve">T2 Departure Public L3</t>
  </si>
  <si>
    <t xml:space="preserve">Source: OpenStreetMap (© OpenStreetMap contributors, ODbL). OSM record last updated 2026-04-01.</t>
  </si>
  <si>
    <t xml:space="preserve">com-ca342f1f</t>
  </si>
  <si>
    <t xml:space="preserve">L1 Chinatown Point</t>
  </si>
  <si>
    <t xml:space="preserve">059413</t>
  </si>
  <si>
    <t xml:space="preserve">Source: OpenStreetMap (© OpenStreetMap contributors, ODbL). OSM record last updated 2025-01-17.</t>
  </si>
  <si>
    <t xml:space="preserve">https://www.burgerking.com.sg/</t>
  </si>
  <si>
    <t xml:space="preserve">com-314f3052</t>
  </si>
  <si>
    <t xml:space="preserve">Cafè Malabar</t>
  </si>
  <si>
    <t xml:space="preserve">142 Arab Street</t>
  </si>
  <si>
    <t xml:space="preserve">199828</t>
  </si>
  <si>
    <t xml:space="preserve">Source: OpenStreetMap (© OpenStreetMap contributors, ODbL). OSM record last updated 2026-02-10.</t>
  </si>
  <si>
    <t xml:space="preserve">com-da817d18</t>
  </si>
  <si>
    <t xml:space="preserve">Cahaya Singapura</t>
  </si>
  <si>
    <t xml:space="preserve">2 Kallang Avenue</t>
  </si>
  <si>
    <t xml:space="preserve">339407</t>
  </si>
  <si>
    <t xml:space="preserve">Source: OpenStreetMap (© OpenStreetMap contributors, ODbL). OSM record last updated 2024-05-12. Postal code from OneMap, Singapore Land Authority, under the Singapore Open Data Licence v1.0.</t>
  </si>
  <si>
    <t xml:space="preserve">com-13d05339</t>
  </si>
  <si>
    <t xml:space="preserve">Cahaya Timur Briyani House</t>
  </si>
  <si>
    <t xml:space="preserve">5 Changi Village Road</t>
  </si>
  <si>
    <t xml:space="preserve">500005</t>
  </si>
  <si>
    <t xml:space="preserve">Indian, Western</t>
  </si>
  <si>
    <t xml:space="preserve">Source: OpenStreetMap (© OpenStreetMap contributors, ODbL). OSM record last updated 2026-08-02.</t>
  </si>
  <si>
    <t xml:space="preserve">com-0bac643c</t>
  </si>
  <si>
    <t xml:space="preserve">Cantine</t>
  </si>
  <si>
    <t xml:space="preserve">https://www.kopitiam.biz/</t>
  </si>
  <si>
    <t xml:space="preserve">com-3badab73</t>
  </si>
  <si>
    <t xml:space="preserve">Cantine Corner</t>
  </si>
  <si>
    <t xml:space="preserve">643 Senja Close, #01-10</t>
  </si>
  <si>
    <t xml:space="preserve">670643</t>
  </si>
  <si>
    <t xml:space="preserve">Source: OpenStreetMap (© OpenStreetMap contributors, ODbL). OSM record last updated 2025-02-22.</t>
  </si>
  <si>
    <t xml:space="preserve">com-9bc8d74e</t>
  </si>
  <si>
    <t xml:space="preserve">Casuarina Curry</t>
  </si>
  <si>
    <t xml:space="preserve">136-138 Casuarina Road</t>
  </si>
  <si>
    <t xml:space="preserve">579524</t>
  </si>
  <si>
    <t xml:space="preserve">Ang Mo Kio</t>
  </si>
  <si>
    <t xml:space="preserve">S20</t>
  </si>
  <si>
    <t xml:space="preserve">D20</t>
  </si>
  <si>
    <t xml:space="preserve">Source: OpenStreetMap (© OpenStreetMap contributors, ODbL). OSM record last updated 2026-02-25.</t>
  </si>
  <si>
    <t xml:space="preserve">https://www.casuarinacurry.com/</t>
  </si>
  <si>
    <t xml:space="preserve">com-0405ceff</t>
  </si>
  <si>
    <t xml:space="preserve">187 MacPherson Road</t>
  </si>
  <si>
    <t xml:space="preserve">348545</t>
  </si>
  <si>
    <t xml:space="preserve">Macpherson</t>
  </si>
  <si>
    <t xml:space="preserve">Source: OpenStreetMap (© OpenStreetMap contributors, ODbL). OSM record last updated 2026-05-12.</t>
  </si>
  <si>
    <t xml:space="preserve">https://www.casuarinacatering.com/</t>
  </si>
  <si>
    <t xml:space="preserve">com-16932159</t>
  </si>
  <si>
    <t xml:space="preserve">Cayenne's by daa.gengs</t>
  </si>
  <si>
    <t xml:space="preserve">#01-204, 8 Somapah Road</t>
  </si>
  <si>
    <t xml:space="preserve">487372</t>
  </si>
  <si>
    <t xml:space="preserve">Western, Asian</t>
  </si>
  <si>
    <t xml:space="preserve">Source: OpenStreetMap (© OpenStreetMap contributors, ODbL). OSM record last updated 2026-05-24.</t>
  </si>
  <si>
    <t xml:space="preserve">https://www.instagram.com/daa.gengs/</t>
  </si>
  <si>
    <t xml:space="preserve">com-8b5d8eef</t>
  </si>
  <si>
    <t xml:space="preserve">Changi Village Food Centre</t>
  </si>
  <si>
    <t xml:space="preserve">3;2 Changi Village Road</t>
  </si>
  <si>
    <t xml:space="preserve">com-f2463847</t>
  </si>
  <si>
    <t xml:space="preserve">Chiko Pollo</t>
  </si>
  <si>
    <t xml:space="preserve">115 King George's Avenue, #01-02</t>
  </si>
  <si>
    <t xml:space="preserve">208561</t>
  </si>
  <si>
    <t xml:space="preserve">Little India</t>
  </si>
  <si>
    <t xml:space="preserve">S8</t>
  </si>
  <si>
    <t xml:space="preserve">D8</t>
  </si>
  <si>
    <t xml:space="preserve">Western, Burger, Pasta</t>
  </si>
  <si>
    <t xml:space="preserve">Source: OpenStreetMap (© OpenStreetMap contributors, ODbL). OSM record last updated 2026-07-12.</t>
  </si>
  <si>
    <t xml:space="preserve">https://chikopollo.com/</t>
  </si>
  <si>
    <t xml:space="preserve">com-1d0d1086</t>
  </si>
  <si>
    <t xml:space="preserve">Crave Nasi Lemak</t>
  </si>
  <si>
    <t xml:space="preserve">https://www.kioskscollective.com/crave</t>
  </si>
  <si>
    <t xml:space="preserve">com-4c1e59b7</t>
  </si>
  <si>
    <t xml:space="preserve">Craze Kitchen</t>
  </si>
  <si>
    <t xml:space="preserve">201D Tampines Street 21</t>
  </si>
  <si>
    <t xml:space="preserve">524201</t>
  </si>
  <si>
    <t xml:space="preserve">https://crazekitchen.com/</t>
  </si>
  <si>
    <t xml:space="preserve">com-cb37a6ee</t>
  </si>
  <si>
    <t xml:space="preserve">Dabba Street</t>
  </si>
  <si>
    <t xml:space="preserve">Indian, Mediterranean</t>
  </si>
  <si>
    <t xml:space="preserve">com-2323e260</t>
  </si>
  <si>
    <t xml:space="preserve">Dahlia Cafe</t>
  </si>
  <si>
    <t xml:space="preserve">390 Victoria Street</t>
  </si>
  <si>
    <t xml:space="preserve">188061</t>
  </si>
  <si>
    <t xml:space="preserve">Source: OpenStreetMap (© OpenStreetMap contributors, ODbL). OSM record last updated 2025-06-08. Postal code from OneMap, Singapore Land Authority, under the Singapore Open Data Licence v1.0.</t>
  </si>
  <si>
    <t xml:space="preserve">com-a197360d</t>
  </si>
  <si>
    <t xml:space="preserve">Dajie Makan Place</t>
  </si>
  <si>
    <t xml:space="preserve">354 Clementi Avenue 2</t>
  </si>
  <si>
    <t xml:space="preserve">120354</t>
  </si>
  <si>
    <t xml:space="preserve">Harbourfront</t>
  </si>
  <si>
    <t xml:space="preserve">S4</t>
  </si>
  <si>
    <t xml:space="preserve">D4</t>
  </si>
  <si>
    <t xml:space="preserve">Source: OpenStreetMap (© OpenStreetMap contributors, ODbL). OSM record last updated 2023-09-12. Postal code from OneMap, Singapore Land Authority, under the Singapore Open Data Licence v1.0.</t>
  </si>
  <si>
    <t xml:space="preserve">com-72f1e878</t>
  </si>
  <si>
    <t xml:space="preserve">DaJie Makan Place</t>
  </si>
  <si>
    <t xml:space="preserve">372 Bukit Batok Street 31, #01-374</t>
  </si>
  <si>
    <t xml:space="preserve">650372</t>
  </si>
  <si>
    <t xml:space="preserve">Source: OpenStreetMap (© OpenStreetMap contributors, ODbL). OSM record last updated 2026-10-04.</t>
  </si>
  <si>
    <t xml:space="preserve">https://dajie.com.sg/</t>
  </si>
  <si>
    <t xml:space="preserve">com-b176aa9d</t>
  </si>
  <si>
    <t xml:space="preserve">Dignity Kitchen</t>
  </si>
  <si>
    <t xml:space="preserve">69 Boon Keng Road</t>
  </si>
  <si>
    <t xml:space="preserve">339772</t>
  </si>
  <si>
    <t xml:space="preserve">Local, Malay, Chinese</t>
  </si>
  <si>
    <t xml:space="preserve">Source: OpenStreetMap (© OpenStreetMap contributors, ODbL). OSM record last updated 2025-12-24.</t>
  </si>
  <si>
    <t xml:space="preserve">https://projectdignity.sg/dignity-kitchen/</t>
  </si>
  <si>
    <t xml:space="preserve">com-cc6fd6de</t>
  </si>
  <si>
    <t xml:space="preserve">Dil 'B Restaurant</t>
  </si>
  <si>
    <t xml:space="preserve">1 #01-2026 Changi Village Road</t>
  </si>
  <si>
    <t xml:space="preserve">com-a6caf922</t>
  </si>
  <si>
    <t xml:space="preserve">Domino's</t>
  </si>
  <si>
    <t xml:space="preserve">46 Telok Blangah Drive, #01-81, Blangah Court</t>
  </si>
  <si>
    <t xml:space="preserve">100046</t>
  </si>
  <si>
    <t xml:space="preserve">Queenstown</t>
  </si>
  <si>
    <t xml:space="preserve">S3</t>
  </si>
  <si>
    <t xml:space="preserve">D3</t>
  </si>
  <si>
    <t xml:space="preserve">Pizza</t>
  </si>
  <si>
    <t xml:space="preserve">Source: OpenStreetMap (© OpenStreetMap contributors, ODbL). OSM record last updated 2024-04-25.</t>
  </si>
  <si>
    <t xml:space="preserve">https://www.dominos.com.sg/</t>
  </si>
  <si>
    <t xml:space="preserve">com-f1fa3c55</t>
  </si>
  <si>
    <t xml:space="preserve">2 Tai Thong Crescent</t>
  </si>
  <si>
    <t xml:space="preserve">347836</t>
  </si>
  <si>
    <t xml:space="preserve">com-254c6433</t>
  </si>
  <si>
    <t xml:space="preserve">Dough Culture</t>
  </si>
  <si>
    <t xml:space="preserve">Chinese</t>
  </si>
  <si>
    <t xml:space="preserve">Source: OpenStreetMap (© OpenStreetMap contributors, ODbL). OSM record last updated 2023-08-14.</t>
  </si>
  <si>
    <t xml:space="preserve">https://doughculture.com/</t>
  </si>
  <si>
    <t xml:space="preserve">com-52ee5254</t>
  </si>
  <si>
    <t xml:space="preserve">Dunkin'</t>
  </si>
  <si>
    <t xml:space="preserve">Donut, Coffee Shop</t>
  </si>
  <si>
    <t xml:space="preserve">https://dunkindonuts.com.sg/</t>
  </si>
  <si>
    <t xml:space="preserve">com-44481503</t>
  </si>
  <si>
    <t xml:space="preserve">Délifrance</t>
  </si>
  <si>
    <t xml:space="preserve">#03-K3/K5 Tampines 1</t>
  </si>
  <si>
    <t xml:space="preserve">com-3bedea08</t>
  </si>
  <si>
    <t xml:space="preserve">Earle Swensen's</t>
  </si>
  <si>
    <t xml:space="preserve">https://earleswensens.com.sg/</t>
  </si>
  <si>
    <t xml:space="preserve">com-481b6c81</t>
  </si>
  <si>
    <t xml:space="preserve">Edo Shokudo</t>
  </si>
  <si>
    <t xml:space="preserve">Japanese</t>
  </si>
  <si>
    <t xml:space="preserve">Source: OpenStreetMap (© OpenStreetMap contributors, ODbL). OSM record last updated 2023-04-13.</t>
  </si>
  <si>
    <t xml:space="preserve">com-b4d8568f</t>
  </si>
  <si>
    <t xml:space="preserve">Eminami Halal Vietnam Pasir Ris</t>
  </si>
  <si>
    <t xml:space="preserve">Pasir Ris Close</t>
  </si>
  <si>
    <t xml:space="preserve">519599</t>
  </si>
  <si>
    <t xml:space="preserve">Vietnamese, Coffee</t>
  </si>
  <si>
    <t xml:space="preserve">Source: OpenStreetMap (© OpenStreetMap contributors, ODbL). OSM record last updated 2026-05-08.</t>
  </si>
  <si>
    <t xml:space="preserve">https://www.eminami.sg</t>
  </si>
  <si>
    <t xml:space="preserve">com-7e21007a</t>
  </si>
  <si>
    <t xml:space="preserve">Encik Tan</t>
  </si>
  <si>
    <t xml:space="preserve">1 Woodlands Road, #01-31A</t>
  </si>
  <si>
    <t xml:space="preserve">677899</t>
  </si>
  <si>
    <t xml:space="preserve">Local</t>
  </si>
  <si>
    <t xml:space="preserve">Source: OpenStreetMap (© OpenStreetMap contributors, ODbL). OSM record last updated 2024-11-18. Postal code from OneMap, Singapore Land Authority, under the Singapore Open Data Licence v1.0.</t>
  </si>
  <si>
    <t xml:space="preserve">https://enciktan.com.sg/</t>
  </si>
  <si>
    <t xml:space="preserve">com-5e106ab9</t>
  </si>
  <si>
    <t xml:space="preserve">T2 Departure Transit</t>
  </si>
  <si>
    <t xml:space="preserve">Singaporean</t>
  </si>
  <si>
    <t xml:space="preserve">Source: OpenStreetMap (© OpenStreetMap contributors, ODbL). OSM record last updated 2026-05-09.</t>
  </si>
  <si>
    <t xml:space="preserve">com-c3046418</t>
  </si>
  <si>
    <t xml:space="preserve">Fayidha</t>
  </si>
  <si>
    <t xml:space="preserve">Kim Keat Lane</t>
  </si>
  <si>
    <t xml:space="preserve">Source: OpenStreetMap (© OpenStreetMap contributors, ODbL). OSM record last updated 2026-01-19.</t>
  </si>
  <si>
    <t xml:space="preserve">com-29856750</t>
  </si>
  <si>
    <t xml:space="preserve">Food Fair</t>
  </si>
  <si>
    <t xml:space="preserve">20 Ah Hood Road</t>
  </si>
  <si>
    <t xml:space="preserve">329984</t>
  </si>
  <si>
    <t xml:space="preserve">Local, Korean, Chinese, Indian, Vietnamese</t>
  </si>
  <si>
    <t xml:space="preserve">Source: OpenStreetMap (© OpenStreetMap contributors, ODbL). OSM record last updated 2023-07-11. Postal code from OneMap, Singapore Land Authority, under the Singapore Open Data Licence v1.0.</t>
  </si>
  <si>
    <t xml:space="preserve">com-b889113f</t>
  </si>
  <si>
    <t xml:space="preserve">Food Street</t>
  </si>
  <si>
    <t xml:space="preserve">1 Jelebu Road, #03-08</t>
  </si>
  <si>
    <t xml:space="preserve">677743</t>
  </si>
  <si>
    <t xml:space="preserve">Local, Thai, Indonesian, Noodle, Dessert</t>
  </si>
  <si>
    <t xml:space="preserve">Source: OpenStreetMap (© OpenStreetMap contributors, ODbL). OSM record last updated 2025-03-14. Postal code from OneMap, Singapore Land Authority, under the Singapore Open Data Licence v1.0.</t>
  </si>
  <si>
    <t xml:space="preserve">com-d6db39f3</t>
  </si>
  <si>
    <t xml:space="preserve">Foodcourt 2</t>
  </si>
  <si>
    <t xml:space="preserve">Pioneer Crescent 20, West Park BizCentral</t>
  </si>
  <si>
    <t xml:space="preserve">Malaysian, Indian, Noodle, Chinese, Thai, Rice</t>
  </si>
  <si>
    <t xml:space="preserve">Source: OpenStreetMap (© OpenStreetMap contributors, ODbL). OSM record last updated 2025-05-30.</t>
  </si>
  <si>
    <t xml:space="preserve">com-4da60995</t>
  </si>
  <si>
    <t xml:space="preserve">Geláre</t>
  </si>
  <si>
    <t xml:space="preserve">Source: OpenStreetMap (© OpenStreetMap contributors, ODbL). OSM record last updated 2025-04-08.</t>
  </si>
  <si>
    <t xml:space="preserve">https://www.gelare.com.sg/</t>
  </si>
  <si>
    <t xml:space="preserve">com-e2e88b0a</t>
  </si>
  <si>
    <t xml:space="preserve">Gomgom</t>
  </si>
  <si>
    <t xml:space="preserve">#01-202A, 8 Somapah Road</t>
  </si>
  <si>
    <t xml:space="preserve">Sandwich, Western</t>
  </si>
  <si>
    <t xml:space="preserve">Source: OpenStreetMap (© OpenStreetMap contributors, ODbL). OSM record last updated 2026-01-14.</t>
  </si>
  <si>
    <t xml:space="preserve">com-a8f2221b</t>
  </si>
  <si>
    <t xml:space="preserve">Gélare</t>
  </si>
  <si>
    <t xml:space="preserve">#04-K2/K3/K7 Tampines 1</t>
  </si>
  <si>
    <t xml:space="preserve">com-d6e217b6</t>
  </si>
  <si>
    <t xml:space="preserve">Hai Ge Ji Hainanese Chicken Rice</t>
  </si>
  <si>
    <t xml:space="preserve">783 North Bridge Road</t>
  </si>
  <si>
    <t xml:space="preserve">198751</t>
  </si>
  <si>
    <t xml:space="preserve">Source: OpenStreetMap (© OpenStreetMap contributors, ODbL). OSM record last updated 2024-09-23.</t>
  </si>
  <si>
    <t xml:space="preserve">com-08ff9df9</t>
  </si>
  <si>
    <t xml:space="preserve">Haig Road Food Centre</t>
  </si>
  <si>
    <t xml:space="preserve">14 Haig Road</t>
  </si>
  <si>
    <t xml:space="preserve">430014</t>
  </si>
  <si>
    <t xml:space="preserve">com-cc688170</t>
  </si>
  <si>
    <t xml:space="preserve">Heavenly Wang</t>
  </si>
  <si>
    <t xml:space="preserve">80 Airport Boulevard, Singapore Changi Airport Terminal 1,  Departure/Transit Lounge West, #02-03/04</t>
  </si>
  <si>
    <t xml:space="preserve">819642</t>
  </si>
  <si>
    <t xml:space="preserve">Changi Airport</t>
  </si>
  <si>
    <t xml:space="preserve">Source: OpenStreetMap (© OpenStreetMap contributors, ODbL). OSM record last updated 2024-10-17. Postal code from OneMap, Singapore Land Authority, under the Singapore Open Data Licence v1.0.</t>
  </si>
  <si>
    <t xml:space="preserve">com-e339f77b</t>
  </si>
  <si>
    <t xml:space="preserve">Hei Sushi</t>
  </si>
  <si>
    <t xml:space="preserve">1 Pasir Ris Close, #02-334</t>
  </si>
  <si>
    <t xml:space="preserve">Sushi</t>
  </si>
  <si>
    <t xml:space="preserve">Source: OpenStreetMap (© OpenStreetMap contributors, ODbL). OSM record last updated 2023-10-17.</t>
  </si>
  <si>
    <t xml:space="preserve">https://www.heisushi.com/</t>
  </si>
  <si>
    <t xml:space="preserve">com-c985f5dc</t>
  </si>
  <si>
    <t xml:space="preserve">28 Tai Seng Street, #01-02</t>
  </si>
  <si>
    <t xml:space="preserve">534106</t>
  </si>
  <si>
    <t xml:space="preserve">Hougang</t>
  </si>
  <si>
    <t xml:space="preserve">S19</t>
  </si>
  <si>
    <t xml:space="preserve">D19</t>
  </si>
  <si>
    <t xml:space="preserve">com-4f3c4f9b</t>
  </si>
  <si>
    <t xml:space="preserve">Hey Slow Joe</t>
  </si>
  <si>
    <t xml:space="preserve">1 Tessensohn Road, #01-10</t>
  </si>
  <si>
    <t xml:space="preserve">217701</t>
  </si>
  <si>
    <t xml:space="preserve">Source: OpenStreetMap (© OpenStreetMap contributors, ODbL). OSM record last updated 2023-12-25.</t>
  </si>
  <si>
    <t xml:space="preserve">com-3479f52d</t>
  </si>
  <si>
    <t xml:space="preserve">Hou Ku Wei</t>
  </si>
  <si>
    <t xml:space="preserve">271 Bukit Batok East Avenue 4</t>
  </si>
  <si>
    <t xml:space="preserve">650271</t>
  </si>
  <si>
    <t xml:space="preserve">Source: OpenStreetMap (© OpenStreetMap contributors, ODbL). OSM record last updated 2023-06-08. Postal code from OneMap, Singapore Land Authority, under the Singapore Open Data Licence v1.0.</t>
  </si>
  <si>
    <t xml:space="preserve">com-a8c3fb1d</t>
  </si>
  <si>
    <t xml:space="preserve">Hugabo</t>
  </si>
  <si>
    <t xml:space="preserve">Noodle, Asian</t>
  </si>
  <si>
    <t xml:space="preserve">https://www.instagram.com/hugabosg/</t>
  </si>
  <si>
    <t xml:space="preserve">com-cfc74c7a</t>
  </si>
  <si>
    <t xml:space="preserve">Ichikokudo Hokkaido Ramen</t>
  </si>
  <si>
    <t xml:space="preserve">65 Airport Boulevard</t>
  </si>
  <si>
    <t xml:space="preserve">819663</t>
  </si>
  <si>
    <t xml:space="preserve">Ramen</t>
  </si>
  <si>
    <t xml:space="preserve">Source: OpenStreetMap (© OpenStreetMap contributors, ODbL). OSM record last updated 2024-10-12. Postal code from OneMap, Singapore Land Authority, under the Singapore Open Data Licence v1.0.</t>
  </si>
  <si>
    <t xml:space="preserve">com-472fa9ac</t>
  </si>
  <si>
    <t xml:space="preserve">Imam Banana Leaf Restaurant</t>
  </si>
  <si>
    <t xml:space="preserve">10 Lorong 1 Geylang</t>
  </si>
  <si>
    <t xml:space="preserve">389119</t>
  </si>
  <si>
    <t xml:space="preserve">Geylang</t>
  </si>
  <si>
    <t xml:space="preserve">S14</t>
  </si>
  <si>
    <t xml:space="preserve">D14</t>
  </si>
  <si>
    <t xml:space="preserve">Indian, North Indian, South Indian</t>
  </si>
  <si>
    <t xml:space="preserve">Source: OpenStreetMap (© OpenStreetMap contributors, ODbL). OSM record last updated 2026-03-18.</t>
  </si>
  <si>
    <t xml:space="preserve">com-cef30887</t>
  </si>
  <si>
    <t xml:space="preserve">Jiak Modern Tzechar</t>
  </si>
  <si>
    <t xml:space="preserve">4 Hillview Rise, #02-04, HillV2</t>
  </si>
  <si>
    <t xml:space="preserve">667979</t>
  </si>
  <si>
    <t xml:space="preserve">Source: OpenStreetMap (© OpenStreetMap contributors, ODbL). OSM record last updated 2026-07-08.</t>
  </si>
  <si>
    <t xml:space="preserve">https://jiak.com.sg/</t>
  </si>
  <si>
    <t xml:space="preserve">com-17357403</t>
  </si>
  <si>
    <t xml:space="preserve">Jollibee</t>
  </si>
  <si>
    <t xml:space="preserve">com-7aaafcb9</t>
  </si>
  <si>
    <t xml:space="preserve">#01-09/10 Century Square</t>
  </si>
  <si>
    <t xml:space="preserve">com-830bfaa8</t>
  </si>
  <si>
    <t xml:space="preserve">Joo Chiat Càphê</t>
  </si>
  <si>
    <t xml:space="preserve">263 Joo Chiat Road</t>
  </si>
  <si>
    <t xml:space="preserve">427517</t>
  </si>
  <si>
    <t xml:space="preserve">Vietnamese, Malaysian, Coffee Shop, Sandwich</t>
  </si>
  <si>
    <t xml:space="preserve">Source: OpenStreetMap (© OpenStreetMap contributors, ODbL). OSM record last updated 2025-05-01.</t>
  </si>
  <si>
    <t xml:space="preserve">https://joochiatcaphe.com/</t>
  </si>
  <si>
    <t xml:space="preserve">com-49228c76</t>
  </si>
  <si>
    <t xml:space="preserve">Julaiha Muslim Restaurant</t>
  </si>
  <si>
    <t xml:space="preserve">538 MacPherson Road</t>
  </si>
  <si>
    <t xml:space="preserve">368222</t>
  </si>
  <si>
    <t xml:space="preserve">Muslim, Indian</t>
  </si>
  <si>
    <t xml:space="preserve">Source: OpenStreetMap (© OpenStreetMap contributors, ODbL). OSM record last updated 2026-02-06.</t>
  </si>
  <si>
    <t xml:space="preserve">com-0b2faf36</t>
  </si>
  <si>
    <t xml:space="preserve">Junshin Express</t>
  </si>
  <si>
    <t xml:space="preserve">311 New Upper Changi Road</t>
  </si>
  <si>
    <t xml:space="preserve">467360</t>
  </si>
  <si>
    <t xml:space="preserve">Source: OpenStreetMap (© OpenStreetMap contributors, ODbL). OSM record last updated 2024-12-09.</t>
  </si>
  <si>
    <t xml:space="preserve">https://www.junshinsushi.com.sg/</t>
  </si>
  <si>
    <t xml:space="preserve">com-1d8ab1fc</t>
  </si>
  <si>
    <t xml:space="preserve">Kedai Kopi</t>
  </si>
  <si>
    <t xml:space="preserve">380 Clementi Avenue 5</t>
  </si>
  <si>
    <t xml:space="preserve">120380</t>
  </si>
  <si>
    <t xml:space="preserve">Source: OpenStreetMap (© OpenStreetMap contributors, ODbL). OSM record last updated 2024-12-04.</t>
  </si>
  <si>
    <t xml:space="preserve">com-a00d55ae</t>
  </si>
  <si>
    <t xml:space="preserve">KFC</t>
  </si>
  <si>
    <t xml:space="preserve">76 Nanyang Drive</t>
  </si>
  <si>
    <t xml:space="preserve">637331</t>
  </si>
  <si>
    <t xml:space="preserve">Source: OpenStreetMap (© OpenStreetMap contributors, ODbL). OSM record last updated 2025-05-24.</t>
  </si>
  <si>
    <t xml:space="preserve">com-6a36018e</t>
  </si>
  <si>
    <t xml:space="preserve">587 Bukit Timah Road, #01-04</t>
  </si>
  <si>
    <t xml:space="preserve">269707</t>
  </si>
  <si>
    <t xml:space="preserve">Bukit Timah</t>
  </si>
  <si>
    <t xml:space="preserve">S10</t>
  </si>
  <si>
    <t xml:space="preserve">D10</t>
  </si>
  <si>
    <t xml:space="preserve">https://www.kfc.com.sg/</t>
  </si>
  <si>
    <t xml:space="preserve">com-681c70a9</t>
  </si>
  <si>
    <t xml:space="preserve">com-785f7267</t>
  </si>
  <si>
    <t xml:space="preserve">Kimly Coffeeshop</t>
  </si>
  <si>
    <t xml:space="preserve">280 Bishan Street 24</t>
  </si>
  <si>
    <t xml:space="preserve">570280</t>
  </si>
  <si>
    <t xml:space="preserve">Source: OpenStreetMap (© OpenStreetMap contributors, ODbL). OSM record last updated 2023-01-01. Postal code from OneMap, Singapore Land Authority, under the Singapore Open Data Licence v1.0.</t>
  </si>
  <si>
    <t xml:space="preserve">com-4d68de40</t>
  </si>
  <si>
    <t xml:space="preserve">Kitchenman Nasi Lemak</t>
  </si>
  <si>
    <t xml:space="preserve">com-da3dd50b</t>
  </si>
  <si>
    <t xml:space="preserve">Kofu</t>
  </si>
  <si>
    <t xml:space="preserve">511 Canberra Road #01-01</t>
  </si>
  <si>
    <t xml:space="preserve">750511</t>
  </si>
  <si>
    <t xml:space="preserve">Yishun</t>
  </si>
  <si>
    <t xml:space="preserve">S27</t>
  </si>
  <si>
    <t xml:space="preserve">D27</t>
  </si>
  <si>
    <t xml:space="preserve">Source: OpenStreetMap (© OpenStreetMap contributors, ODbL). OSM record last updated 2026-07-14.</t>
  </si>
  <si>
    <t xml:space="preserve">com-c01664e6</t>
  </si>
  <si>
    <t xml:space="preserve">Kohnangkam</t>
  </si>
  <si>
    <t xml:space="preserve">6 Jalan Kledek</t>
  </si>
  <si>
    <t xml:space="preserve">199261</t>
  </si>
  <si>
    <t xml:space="preserve">Thai</t>
  </si>
  <si>
    <t xml:space="preserve">Source: OpenStreetMap (© OpenStreetMap contributors, ODbL). OSM record last updated 2024-10-11. Postal code from OneMap, Singapore Land Authority, under the Singapore Open Data Licence v1.0.</t>
  </si>
  <si>
    <t xml:space="preserve">com-ff49bfca</t>
  </si>
  <si>
    <t xml:space="preserve">Konditori Artisan Bakes</t>
  </si>
  <si>
    <t xml:space="preserve">33 Bussorah Street</t>
  </si>
  <si>
    <t xml:space="preserve">199451</t>
  </si>
  <si>
    <t xml:space="preserve">Source: OpenStreetMap (© OpenStreetMap contributors, ODbL). OSM record last updated 2024-10-09. Postal code from OneMap, Singapore Land Authority, under the Singapore Open Data Licence v1.0.</t>
  </si>
  <si>
    <t xml:space="preserve">https://www.konditori.sg/</t>
  </si>
  <si>
    <t xml:space="preserve">com-2c871de1</t>
  </si>
  <si>
    <t xml:space="preserve">Koufu</t>
  </si>
  <si>
    <t xml:space="preserve">70 Stamford Road</t>
  </si>
  <si>
    <t xml:space="preserve">178901</t>
  </si>
  <si>
    <t xml:space="preserve">City Hall</t>
  </si>
  <si>
    <t xml:space="preserve">S6</t>
  </si>
  <si>
    <t xml:space="preserve">D6</t>
  </si>
  <si>
    <t xml:space="preserve">Source: OpenStreetMap (© OpenStreetMap contributors, ODbL). OSM record last updated 2026-09-04.</t>
  </si>
  <si>
    <t xml:space="preserve">com-73888b9c</t>
  </si>
  <si>
    <t xml:space="preserve">Kulon</t>
  </si>
  <si>
    <t xml:space="preserve">30 Bali Lane</t>
  </si>
  <si>
    <t xml:space="preserve">189866</t>
  </si>
  <si>
    <t xml:space="preserve">Indonesian, Noodle</t>
  </si>
  <si>
    <t xml:space="preserve">Source: OpenStreetMap (© OpenStreetMap contributors, ODbL). OSM record last updated 2025-04-17. Postal code from OneMap, Singapore Land Authority, under the Singapore Open Data Licence v1.0.</t>
  </si>
  <si>
    <t xml:space="preserve">https://kulonsingapore.com/</t>
  </si>
  <si>
    <t xml:space="preserve">com-495049d6</t>
  </si>
  <si>
    <t xml:space="preserve">LAYALI Turkish Restaurant</t>
  </si>
  <si>
    <t xml:space="preserve">257 Beach Road</t>
  </si>
  <si>
    <t xml:space="preserve">199539</t>
  </si>
  <si>
    <t xml:space="preserve">Turkish, Mediterranean</t>
  </si>
  <si>
    <t xml:space="preserve">Source: OpenStreetMap (© OpenStreetMap contributors, ODbL). OSM record last updated 2026-09-27.</t>
  </si>
  <si>
    <t xml:space="preserve">https://layali.sg</t>
  </si>
  <si>
    <t xml:space="preserve">com-222f23d5</t>
  </si>
  <si>
    <t xml:space="preserve">Lee Wee &amp; Brothers</t>
  </si>
  <si>
    <t xml:space="preserve">https://leeweebrothers.com/</t>
  </si>
  <si>
    <t xml:space="preserve">com-2702a408</t>
  </si>
  <si>
    <t xml:space="preserve">Long John Silver's</t>
  </si>
  <si>
    <t xml:space="preserve">17 Petir Road, #B1-57/58/59</t>
  </si>
  <si>
    <t xml:space="preserve">678278</t>
  </si>
  <si>
    <t xml:space="preserve">Seafood</t>
  </si>
  <si>
    <t xml:space="preserve">https://www.longjohnsilvers.com.sg/</t>
  </si>
  <si>
    <t xml:space="preserve">com-2b00777d</t>
  </si>
  <si>
    <t xml:space="preserve">com-85c5dd9e</t>
  </si>
  <si>
    <t xml:space="preserve">Ma Mum</t>
  </si>
  <si>
    <t xml:space="preserve">L1 T1 Arrival Hall (Public)</t>
  </si>
  <si>
    <t xml:space="preserve">Source: OpenStreetMap (© OpenStreetMap contributors, ODbL). OSM record last updated 2026-08-19.</t>
  </si>
  <si>
    <t xml:space="preserve">com-d3e2aa35</t>
  </si>
  <si>
    <t xml:space="preserve">Mahmud’s Tandoor</t>
  </si>
  <si>
    <t xml:space="preserve">20 Kandahar Street</t>
  </si>
  <si>
    <t xml:space="preserve">198885</t>
  </si>
  <si>
    <t xml:space="preserve">Source: OpenStreetMap (© OpenStreetMap contributors, ODbL). OSM record last updated 2025-04-13.</t>
  </si>
  <si>
    <t xml:space="preserve">com-da02f0c4</t>
  </si>
  <si>
    <t xml:space="preserve">Makan Empire</t>
  </si>
  <si>
    <t xml:space="preserve">11 Kaki Bukit Road 4</t>
  </si>
  <si>
    <t xml:space="preserve">417806</t>
  </si>
  <si>
    <t xml:space="preserve">Eunos</t>
  </si>
  <si>
    <t xml:space="preserve">com-7f4a4ee4</t>
  </si>
  <si>
    <t xml:space="preserve">Makansutra Gluttons Bay</t>
  </si>
  <si>
    <t xml:space="preserve">8 Raffles Avenue</t>
  </si>
  <si>
    <t xml:space="preserve">Local, Italian, Pizza</t>
  </si>
  <si>
    <t xml:space="preserve">Source: OpenStreetMap (© OpenStreetMap contributors, ODbL). OSM record last updated 2025-06-01. Postal code from OneMap, Singapore Land Authority, under the Singapore Open Data Licence v1.0.</t>
  </si>
  <si>
    <t xml:space="preserve">com-eb0313c1</t>
  </si>
  <si>
    <t xml:space="preserve">Maki-San</t>
  </si>
  <si>
    <t xml:space="preserve">Japanese, Sushi, Salad</t>
  </si>
  <si>
    <t xml:space="preserve">Source: OpenStreetMap (© OpenStreetMap contributors, ODbL). OSM record last updated 2023-05-11.</t>
  </si>
  <si>
    <t xml:space="preserve">https://makisan.com/</t>
  </si>
  <si>
    <t xml:space="preserve">com-a276c6c1</t>
  </si>
  <si>
    <t xml:space="preserve">3155 Commonwealth Avenue West</t>
  </si>
  <si>
    <t xml:space="preserve">129588</t>
  </si>
  <si>
    <t xml:space="preserve">Source: OpenStreetMap (© OpenStreetMap contributors, ODbL). OSM record last updated 2026-09-17.</t>
  </si>
  <si>
    <t xml:space="preserve">https://www.makisan.com/</t>
  </si>
  <si>
    <t xml:space="preserve">com-f6ba7360</t>
  </si>
  <si>
    <t xml:space="preserve">com-36683394</t>
  </si>
  <si>
    <t xml:space="preserve">Mari Mari</t>
  </si>
  <si>
    <t xml:space="preserve">802 Bukit Batok West Avenue 5</t>
  </si>
  <si>
    <t xml:space="preserve">659083</t>
  </si>
  <si>
    <t xml:space="preserve">Source: OpenStreetMap (© OpenStreetMap contributors, ODbL). OSM record last updated 2026-09-01.</t>
  </si>
  <si>
    <t xml:space="preserve">com-26bb99f6</t>
  </si>
  <si>
    <t xml:space="preserve">Marine Parade Food Centre</t>
  </si>
  <si>
    <t xml:space="preserve">84 Marine Parade Central</t>
  </si>
  <si>
    <t xml:space="preserve">440084</t>
  </si>
  <si>
    <t xml:space="preserve">Source: OpenStreetMap (© OpenStreetMap contributors, ODbL). OSM record last updated 2026-05-03.</t>
  </si>
  <si>
    <t xml:space="preserve">com-287fe04a</t>
  </si>
  <si>
    <t xml:space="preserve">Marrybrown</t>
  </si>
  <si>
    <t xml:space="preserve">43 Siloso Beach Walk, #3</t>
  </si>
  <si>
    <t xml:space="preserve">099010</t>
  </si>
  <si>
    <t xml:space="preserve">Malaysian, Chicken, Burger</t>
  </si>
  <si>
    <t xml:space="preserve">Source: OpenStreetMap (© OpenStreetMap contributors, ODbL). OSM record last updated 2024-04-15.</t>
  </si>
  <si>
    <t xml:space="preserve">com-4fd2b978</t>
  </si>
  <si>
    <t xml:space="preserve">McDonald's</t>
  </si>
  <si>
    <t xml:space="preserve">Hougang Avenue 8</t>
  </si>
  <si>
    <t xml:space="preserve">Source: OpenStreetMap (© OpenStreetMap contributors, ODbL). OSM record last updated 2023-06-28.</t>
  </si>
  <si>
    <t xml:space="preserve">com-66a9865e</t>
  </si>
  <si>
    <t xml:space="preserve">#01-16/17 30 Sembawang Drive</t>
  </si>
  <si>
    <t xml:space="preserve">757713</t>
  </si>
  <si>
    <t xml:space="preserve">Source: OpenStreetMap (© OpenStreetMap contributors, ODbL). OSM record last updated 2026-05-10.</t>
  </si>
  <si>
    <t xml:space="preserve">https://www.mcdonalds.com.sg/</t>
  </si>
  <si>
    <t xml:space="preserve">com-b6bf6545</t>
  </si>
  <si>
    <t xml:space="preserve">Clementi Avenue 3</t>
  </si>
  <si>
    <t xml:space="preserve">Source: OpenStreetMap (© OpenStreetMap contributors, ODbL). OSM record last updated 2026-05-06.</t>
  </si>
  <si>
    <t xml:space="preserve">com-9af21436</t>
  </si>
  <si>
    <t xml:space="preserve">com-a7b470e5</t>
  </si>
  <si>
    <t xml:space="preserve">1 Pasir Ris Close</t>
  </si>
  <si>
    <t xml:space="preserve">Source: OpenStreetMap (© OpenStreetMap contributors, ODbL). OSM record last updated 2024-10-31.</t>
  </si>
  <si>
    <t xml:space="preserve">com-e376a014</t>
  </si>
  <si>
    <t xml:space="preserve">148 Potong Pasir Avenue 1</t>
  </si>
  <si>
    <t xml:space="preserve">350148</t>
  </si>
  <si>
    <t xml:space="preserve">Source: OpenStreetMap (© OpenStreetMap contributors, ODbL). OSM record last updated 2026-05-01.</t>
  </si>
  <si>
    <t xml:space="preserve">com-14074101</t>
  </si>
  <si>
    <t xml:space="preserve">Source: OpenStreetMap (© OpenStreetMap contributors, ODbL). OSM record last updated 2025-11-05. Postal code from OneMap, Singapore Land Authority, under the Singapore Open Data Licence v1.0.</t>
  </si>
  <si>
    <t xml:space="preserve">com-768191a2</t>
  </si>
  <si>
    <t xml:space="preserve">https://mcdonalds.com.sg/</t>
  </si>
  <si>
    <t xml:space="preserve">com-740e3639</t>
  </si>
  <si>
    <t xml:space="preserve">642 Senja Close</t>
  </si>
  <si>
    <t xml:space="preserve">670642</t>
  </si>
  <si>
    <t xml:space="preserve">Source: OpenStreetMap (© OpenStreetMap contributors, ODbL). OSM record last updated 2026-09-21.</t>
  </si>
  <si>
    <t xml:space="preserve">com-b250b72a</t>
  </si>
  <si>
    <t xml:space="preserve">com-bec6cda8</t>
  </si>
  <si>
    <t xml:space="preserve">Minah Tina Rina Ayam Penyet</t>
  </si>
  <si>
    <t xml:space="preserve">171 MacPherson Road</t>
  </si>
  <si>
    <t xml:space="preserve">348536</t>
  </si>
  <si>
    <t xml:space="preserve">com-ba299d99</t>
  </si>
  <si>
    <r>
      <rPr>
        <sz val="11"/>
        <color theme="1"/>
        <rFont val="Calibri"/>
        <family val="2"/>
        <charset val="1"/>
      </rPr>
      <t xml:space="preserve">Monster Planet </t>
    </r>
    <r>
      <rPr>
        <sz val="11"/>
        <color theme="1"/>
        <rFont val="Noto Sans CJK SC"/>
        <family val="2"/>
      </rPr>
      <t xml:space="preserve">モンスタープラネット</t>
    </r>
  </si>
  <si>
    <t xml:space="preserve">#01-07 JEM</t>
  </si>
  <si>
    <t xml:space="preserve">com-cf089fb3</t>
  </si>
  <si>
    <t xml:space="preserve">Mr Bean</t>
  </si>
  <si>
    <t xml:space="preserve">https://www.mrbean.com.sg/</t>
  </si>
  <si>
    <t xml:space="preserve">com-7a278581</t>
  </si>
  <si>
    <t xml:space="preserve">com-dc6f51f8</t>
  </si>
  <si>
    <t xml:space="preserve">Mr Prata</t>
  </si>
  <si>
    <t xml:space="preserve">476 Tampines Street 44</t>
  </si>
  <si>
    <t xml:space="preserve">520476</t>
  </si>
  <si>
    <t xml:space="preserve">com-4356a2e0</t>
  </si>
  <si>
    <t xml:space="preserve">Mr Uncle</t>
  </si>
  <si>
    <t xml:space="preserve">Sembawang Road</t>
  </si>
  <si>
    <t xml:space="preserve">Indian, Local, Thai</t>
  </si>
  <si>
    <t xml:space="preserve">Source: OpenStreetMap (© OpenStreetMap contributors, ODbL). OSM record last updated 2023-03-26.</t>
  </si>
  <si>
    <t xml:space="preserve">com-130b8f2a</t>
  </si>
  <si>
    <t xml:space="preserve">Mr. Appam</t>
  </si>
  <si>
    <t xml:space="preserve">1 Kadayanallur Street, #99</t>
  </si>
  <si>
    <t xml:space="preserve">069184</t>
  </si>
  <si>
    <t xml:space="preserve">Dessert, Indian</t>
  </si>
  <si>
    <t xml:space="preserve">Source: OpenStreetMap (© OpenStreetMap contributors, ODbL). OSM record last updated 2025-09-09.</t>
  </si>
  <si>
    <t xml:space="preserve">com-6eb5d45f</t>
  </si>
  <si>
    <t xml:space="preserve">Mr. Biryani</t>
  </si>
  <si>
    <t xml:space="preserve">11 Chander road</t>
  </si>
  <si>
    <t xml:space="preserve">Source: OpenStreetMap (© OpenStreetMap contributors, ODbL). OSM record last updated 2026-08-29.</t>
  </si>
  <si>
    <t xml:space="preserve">https://www.mrbiryanisg.com/</t>
  </si>
  <si>
    <t xml:space="preserve">com-d4f76fff</t>
  </si>
  <si>
    <t xml:space="preserve">Munchi Pancakes</t>
  </si>
  <si>
    <t xml:space="preserve">2 Senja Close, #02-23</t>
  </si>
  <si>
    <t xml:space="preserve">Source: OpenStreetMap (© OpenStreetMap contributors, ODbL). OSM record last updated 2025-02-04.</t>
  </si>
  <si>
    <t xml:space="preserve">com-864404fe</t>
  </si>
  <si>
    <t xml:space="preserve">Muslim</t>
  </si>
  <si>
    <t xml:space="preserve">11 Computing Drive</t>
  </si>
  <si>
    <t xml:space="preserve">117416</t>
  </si>
  <si>
    <t xml:space="preserve">Source: OpenStreetMap (© OpenStreetMap contributors, ODbL). OSM record last updated 2026-09-07.</t>
  </si>
  <si>
    <t xml:space="preserve">com-1f2f6ce9</t>
  </si>
  <si>
    <t xml:space="preserve">Nasi Padang</t>
  </si>
  <si>
    <t xml:space="preserve">East Coast Road</t>
  </si>
  <si>
    <t xml:space="preserve">Source: OpenStreetMap (© OpenStreetMap contributors, ODbL). OSM record last updated 2022-12-06.</t>
  </si>
  <si>
    <t xml:space="preserve">com-c8958003</t>
  </si>
  <si>
    <t xml:space="preserve">Nur Fayidha</t>
  </si>
  <si>
    <t xml:space="preserve">2 Pahang Street</t>
  </si>
  <si>
    <t xml:space="preserve">198604</t>
  </si>
  <si>
    <t xml:space="preserve">Source: OpenStreetMap (© OpenStreetMap contributors, ODbL). OSM record last updated 2025-01-29. Postal code from OneMap, Singapore Land Authority, under the Singapore Open Data Licence v1.0.</t>
  </si>
  <si>
    <t xml:space="preserve">com-1ea02e58</t>
  </si>
  <si>
    <t xml:space="preserve">Nur Kidayah &amp; Family</t>
  </si>
  <si>
    <t xml:space="preserve">14 Haig Road, #01-11</t>
  </si>
  <si>
    <t xml:space="preserve">Dessert</t>
  </si>
  <si>
    <t xml:space="preserve">Source: OpenStreetMap (© OpenStreetMap contributors, ODbL). OSM record last updated 2024-04-21. Postal code from OneMap, Singapore Land Authority, under the Singapore Open Data Licence v1.0.</t>
  </si>
  <si>
    <t xml:space="preserve">com-74853357</t>
  </si>
  <si>
    <t xml:space="preserve">Nurul Delight</t>
  </si>
  <si>
    <t xml:space="preserve">217 Bukit Batok Street 21</t>
  </si>
  <si>
    <t xml:space="preserve">650217</t>
  </si>
  <si>
    <t xml:space="preserve">Source: OpenStreetMap (© OpenStreetMap contributors, ODbL). OSM record last updated 2025-01-13. Postal code from OneMap, Singapore Land Authority, under the Singapore Open Data Licence v1.0.</t>
  </si>
  <si>
    <t xml:space="preserve">com-cc14ae88</t>
  </si>
  <si>
    <t xml:space="preserve">Núodle</t>
  </si>
  <si>
    <t xml:space="preserve">460 Alexandra Road, #01-01</t>
  </si>
  <si>
    <t xml:space="preserve">119963</t>
  </si>
  <si>
    <t xml:space="preserve">Noodle</t>
  </si>
  <si>
    <t xml:space="preserve">Source: OpenStreetMap (© OpenStreetMap contributors, ODbL). OSM record last updated 2024-04-08. Postal code from OneMap, Singapore Land Authority, under the Singapore Open Data Licence v1.0.</t>
  </si>
  <si>
    <t xml:space="preserve">com-49a7d2dd</t>
  </si>
  <si>
    <t xml:space="preserve">Old Chang Kee</t>
  </si>
  <si>
    <t xml:space="preserve">55 Upper Serangoon Road</t>
  </si>
  <si>
    <t xml:space="preserve">347694</t>
  </si>
  <si>
    <t xml:space="preserve">Snacks, Singaporean</t>
  </si>
  <si>
    <t xml:space="preserve">https://www.oldchangkee.com/</t>
  </si>
  <si>
    <t xml:space="preserve">com-78fc291e</t>
  </si>
  <si>
    <t xml:space="preserve">com-187f507e</t>
  </si>
  <si>
    <t xml:space="preserve">One18</t>
  </si>
  <si>
    <t xml:space="preserve">757 North Bridge Road</t>
  </si>
  <si>
    <t xml:space="preserve">198725</t>
  </si>
  <si>
    <t xml:space="preserve">Source: OpenStreetMap (© OpenStreetMap contributors, ODbL). OSM record last updated 2024-11-17.</t>
  </si>
  <si>
    <t xml:space="preserve">https://one18bakery.com/</t>
  </si>
  <si>
    <t xml:space="preserve">com-8c4a577d</t>
  </si>
  <si>
    <t xml:space="preserve">Ono Ramen</t>
  </si>
  <si>
    <t xml:space="preserve">734 North Bridge Road</t>
  </si>
  <si>
    <t xml:space="preserve">198702</t>
  </si>
  <si>
    <t xml:space="preserve">Ramen, Indonesian</t>
  </si>
  <si>
    <t xml:space="preserve">Source: OpenStreetMap (© OpenStreetMap contributors, ODbL). OSM record last updated 2025-04-17.</t>
  </si>
  <si>
    <t xml:space="preserve">com-416f7ec3</t>
  </si>
  <si>
    <t xml:space="preserve">Pepper Lunch</t>
  </si>
  <si>
    <t xml:space="preserve">519467</t>
  </si>
  <si>
    <t xml:space="preserve">Teppanyaki</t>
  </si>
  <si>
    <t xml:space="preserve">https://www.pepperlunch.com.sg/</t>
  </si>
  <si>
    <t xml:space="preserve">com-44d9a95f</t>
  </si>
  <si>
    <t xml:space="preserve">Petra Haven</t>
  </si>
  <si>
    <t xml:space="preserve">148 Arab Street</t>
  </si>
  <si>
    <t xml:space="preserve">199831</t>
  </si>
  <si>
    <t xml:space="preserve">Source: OpenStreetMap (© OpenStreetMap contributors, ODbL). OSM record last updated 2024-10-15. Postal code from OneMap, Singapore Land Authority, under the Singapore Open Data Licence v1.0.</t>
  </si>
  <si>
    <t xml:space="preserve">com-1ee8934c</t>
  </si>
  <si>
    <t xml:space="preserve">Pezzo</t>
  </si>
  <si>
    <t xml:space="preserve">com-69eedfb7</t>
  </si>
  <si>
    <t xml:space="preserve">Pita Bakery</t>
  </si>
  <si>
    <t xml:space="preserve">189865</t>
  </si>
  <si>
    <t xml:space="preserve">Arab</t>
  </si>
  <si>
    <t xml:space="preserve">Source: OpenStreetMap (© OpenStreetMap contributors, ODbL). OSM record last updated 2025-11-26.</t>
  </si>
  <si>
    <t xml:space="preserve">https://www.pita-bakery.com/</t>
  </si>
  <si>
    <t xml:space="preserve">com-65ef731c</t>
  </si>
  <si>
    <t xml:space="preserve">Pizza Hut</t>
  </si>
  <si>
    <t xml:space="preserve">163 MacPherson Road</t>
  </si>
  <si>
    <t xml:space="preserve">348532</t>
  </si>
  <si>
    <t xml:space="preserve">https://www.pizzahut.com.sg/</t>
  </si>
  <si>
    <t xml:space="preserve">com-06c2a146</t>
  </si>
  <si>
    <t xml:space="preserve">Polar Puffs &amp; Cakes</t>
  </si>
  <si>
    <t xml:space="preserve">802 Bukit Batok West Avenue 5, #01-05</t>
  </si>
  <si>
    <t xml:space="preserve">Pastry</t>
  </si>
  <si>
    <t xml:space="preserve">https://polarpuffs-cakes.com/</t>
  </si>
  <si>
    <t xml:space="preserve">com-b94cca73</t>
  </si>
  <si>
    <t xml:space="preserve">Pondok Makan Indonesia</t>
  </si>
  <si>
    <t xml:space="preserve">270 Queen Street, #01-123</t>
  </si>
  <si>
    <t xml:space="preserve">180270</t>
  </si>
  <si>
    <t xml:space="preserve">com-39e7c377</t>
  </si>
  <si>
    <t xml:space="preserve">Ponggol Nasi Lemak</t>
  </si>
  <si>
    <t xml:space="preserve">371 Jalan Besar</t>
  </si>
  <si>
    <t xml:space="preserve">208998</t>
  </si>
  <si>
    <t xml:space="preserve">Source: OpenStreetMap (© OpenStreetMap contributors, ODbL). OSM record last updated 2024-02-15.</t>
  </si>
  <si>
    <t xml:space="preserve">https://www.ponggolnasilemak.com.sg/</t>
  </si>
  <si>
    <t xml:space="preserve">com-e2c33611</t>
  </si>
  <si>
    <t xml:space="preserve">Popeyes</t>
  </si>
  <si>
    <t xml:space="preserve">#01-31/32/33 The Seletar Mall</t>
  </si>
  <si>
    <t xml:space="preserve">797653</t>
  </si>
  <si>
    <t xml:space="preserve">Seletar</t>
  </si>
  <si>
    <t xml:space="preserve">S28</t>
  </si>
  <si>
    <t xml:space="preserve">D28</t>
  </si>
  <si>
    <t xml:space="preserve">Source: OpenStreetMap (© OpenStreetMap contributors, ODbL). OSM record last updated 2025-01-22.</t>
  </si>
  <si>
    <t xml:space="preserve">https://www.popeyes.com.sg/</t>
  </si>
  <si>
    <t xml:space="preserve">com-728adf89</t>
  </si>
  <si>
    <t xml:space="preserve">Poulet</t>
  </si>
  <si>
    <t xml:space="preserve">French</t>
  </si>
  <si>
    <t xml:space="preserve">Source: OpenStreetMap (© OpenStreetMap contributors, ODbL). OSM record last updated 2025-04-02.</t>
  </si>
  <si>
    <t xml:space="preserve">https://www.poulet.com.sg/</t>
  </si>
  <si>
    <t xml:space="preserve">com-06b93b01</t>
  </si>
  <si>
    <t xml:space="preserve">PrimaDéli</t>
  </si>
  <si>
    <t xml:space="preserve">#B1-40 Northpoint City</t>
  </si>
  <si>
    <t xml:space="preserve">Source: OpenStreetMap (© OpenStreetMap contributors, ODbL). OSM record last updated 2025-01-23.</t>
  </si>
  <si>
    <t xml:space="preserve">com-b0a2d2a2</t>
  </si>
  <si>
    <t xml:space="preserve">Qi Ji</t>
  </si>
  <si>
    <t xml:space="preserve">Source: OpenStreetMap (© OpenStreetMap contributors, ODbL). OSM record last updated 2024-05-30.</t>
  </si>
  <si>
    <t xml:space="preserve">https://www.qiji.com.sg/</t>
  </si>
  <si>
    <t xml:space="preserve">com-cd5e018a</t>
  </si>
  <si>
    <t xml:space="preserve">Rasa Istimewa</t>
  </si>
  <si>
    <t xml:space="preserve">201 Pasir Ris Road</t>
  </si>
  <si>
    <t xml:space="preserve">519147</t>
  </si>
  <si>
    <t xml:space="preserve">International, Fish</t>
  </si>
  <si>
    <t xml:space="preserve">Source: OpenStreetMap (© OpenStreetMap contributors, ODbL). OSM record last updated 2025-04-09.</t>
  </si>
  <si>
    <t xml:space="preserve">http://www.rasaistimewa.com.sg/</t>
  </si>
  <si>
    <t xml:space="preserve">com-4c603576</t>
  </si>
  <si>
    <t xml:space="preserve">Rasa Rasa @ Teck Whye</t>
  </si>
  <si>
    <t xml:space="preserve">160A Jalan Teck Whye, #01-01</t>
  </si>
  <si>
    <t xml:space="preserve">681160</t>
  </si>
  <si>
    <t xml:space="preserve">Source: OpenStreetMap (© OpenStreetMap contributors, ODbL). OSM record last updated 2024-08-26.</t>
  </si>
  <si>
    <t xml:space="preserve">https://www.rasarasa.sg/</t>
  </si>
  <si>
    <t xml:space="preserve">com-4b4c0a08</t>
  </si>
  <si>
    <t xml:space="preserve">Red Ginger</t>
  </si>
  <si>
    <t xml:space="preserve">IMM</t>
  </si>
  <si>
    <t xml:space="preserve">com-f401b0eb</t>
  </si>
  <si>
    <t xml:space="preserve">Restaurant You Kee Xo</t>
  </si>
  <si>
    <t xml:space="preserve">43 Joo Chiat Place</t>
  </si>
  <si>
    <t xml:space="preserve">427767</t>
  </si>
  <si>
    <t xml:space="preserve">Source: OpenStreetMap (© OpenStreetMap contributors, ODbL). OSM record last updated 2025-08-20.</t>
  </si>
  <si>
    <t xml:space="preserve">com-b9c578d2</t>
  </si>
  <si>
    <t xml:space="preserve">Rumah Makan Minang</t>
  </si>
  <si>
    <t xml:space="preserve">18 Kandahar Street</t>
  </si>
  <si>
    <t xml:space="preserve">198884</t>
  </si>
  <si>
    <t xml:space="preserve">Source: OpenStreetMap (© OpenStreetMap contributors, ODbL). OSM record last updated 2025-01-09.</t>
  </si>
  <si>
    <t xml:space="preserve">https://minang.sg/</t>
  </si>
  <si>
    <t xml:space="preserve">com-76267b71</t>
  </si>
  <si>
    <t xml:space="preserve">Sabar Menanti</t>
  </si>
  <si>
    <t xml:space="preserve">737 North Bridge Road</t>
  </si>
  <si>
    <t xml:space="preserve">198705</t>
  </si>
  <si>
    <t xml:space="preserve">Source: OpenStreetMap (© OpenStreetMap contributors, ODbL). OSM record last updated 2026-04-23.</t>
  </si>
  <si>
    <t xml:space="preserve">https://www.sabarmenanti.sg/</t>
  </si>
  <si>
    <t xml:space="preserve">com-a563fb9a</t>
  </si>
  <si>
    <t xml:space="preserve">Saffrons</t>
  </si>
  <si>
    <t xml:space="preserve">https://saffrons.com.sg</t>
  </si>
  <si>
    <t xml:space="preserve">com-f99d580a</t>
  </si>
  <si>
    <t xml:space="preserve">Sai Kitchen</t>
  </si>
  <si>
    <t xml:space="preserve">1 North Bridge Road</t>
  </si>
  <si>
    <t xml:space="preserve">179094</t>
  </si>
  <si>
    <t xml:space="preserve">Source: OpenStreetMap (© OpenStreetMap contributors, ODbL). OSM record last updated 2024-02-15. Postal code from OneMap, Singapore Land Authority, under the Singapore Open Data Licence v1.0.</t>
  </si>
  <si>
    <t xml:space="preserve">com-48dc2d18</t>
  </si>
  <si>
    <t xml:space="preserve">Sanook Kitchen</t>
  </si>
  <si>
    <t xml:space="preserve">20 Ah Hood Road, Zongshan Mall</t>
  </si>
  <si>
    <t xml:space="preserve">Source: OpenStreetMap (© OpenStreetMap contributors, ODbL). OSM record last updated 2023-03-26. Postal code from OneMap, Singapore Land Authority, under the Singapore Open Data Licence v1.0.</t>
  </si>
  <si>
    <t xml:space="preserve">com-bb965fce</t>
  </si>
  <si>
    <t xml:space="preserve">3F PLQ Mall</t>
  </si>
  <si>
    <t xml:space="preserve">com-aad1ae1e</t>
  </si>
  <si>
    <t xml:space="preserve">#03-25 Tampines 1</t>
  </si>
  <si>
    <t xml:space="preserve">com-206ed2c1</t>
  </si>
  <si>
    <t xml:space="preserve">Saporita</t>
  </si>
  <si>
    <t xml:space="preserve">8 Raffles Avenue, #01-15L</t>
  </si>
  <si>
    <t xml:space="preserve">Pizza, Italian, Pasta, Salad</t>
  </si>
  <si>
    <t xml:space="preserve">Source: OpenStreetMap (© OpenStreetMap contributors, ODbL). OSM record last updated 2024-01-16.</t>
  </si>
  <si>
    <t xml:space="preserve">com-b4571b01</t>
  </si>
  <si>
    <r>
      <rPr>
        <sz val="11"/>
        <color theme="1"/>
        <rFont val="Calibri"/>
        <family val="2"/>
        <charset val="1"/>
      </rPr>
      <t xml:space="preserve">Segar Restaurant </t>
    </r>
    <r>
      <rPr>
        <sz val="11"/>
        <color theme="1"/>
        <rFont val="Noto Sans CJK SC"/>
        <family val="2"/>
      </rPr>
      <t xml:space="preserve">食家小厨</t>
    </r>
  </si>
  <si>
    <t xml:space="preserve">#B2-39/40/41 Chinatown Point</t>
  </si>
  <si>
    <t xml:space="preserve">https://www.segar.group/</t>
  </si>
  <si>
    <t xml:space="preserve">com-72c7f742</t>
  </si>
  <si>
    <t xml:space="preserve">Senja Hawker Centre</t>
  </si>
  <si>
    <t xml:space="preserve">2 Senja Close</t>
  </si>
  <si>
    <t xml:space="preserve">Source: OpenStreetMap (© OpenStreetMap contributors, ODbL). OSM record last updated 2026-01-31.</t>
  </si>
  <si>
    <t xml:space="preserve">com-568041f1</t>
  </si>
  <si>
    <t xml:space="preserve">Shawarma Kingdom Turkish &amp; Mediterranean Restaurant</t>
  </si>
  <si>
    <t xml:space="preserve">21 Arab Street</t>
  </si>
  <si>
    <t xml:space="preserve">199844</t>
  </si>
  <si>
    <t xml:space="preserve">Kebab, Turkish</t>
  </si>
  <si>
    <t xml:space="preserve">Source: OpenStreetMap (© OpenStreetMap contributors, ODbL). OSM record last updated 2026-07-01.</t>
  </si>
  <si>
    <t xml:space="preserve">com-97967f3e</t>
  </si>
  <si>
    <t xml:space="preserve">Smashed</t>
  </si>
  <si>
    <t xml:space="preserve">21 Baghdad Street</t>
  </si>
  <si>
    <t xml:space="preserve">199066</t>
  </si>
  <si>
    <t xml:space="preserve">Source: OpenStreetMap (© OpenStreetMap contributors, ODbL). OSM record last updated 2024-10-15.</t>
  </si>
  <si>
    <t xml:space="preserve">https://www.thalalcorner.com/</t>
  </si>
  <si>
    <t xml:space="preserve">com-e63dac5b</t>
  </si>
  <si>
    <t xml:space="preserve">So Pho</t>
  </si>
  <si>
    <t xml:space="preserve">238 Thomson Road, #02-43/45</t>
  </si>
  <si>
    <t xml:space="preserve">307683</t>
  </si>
  <si>
    <t xml:space="preserve">Thomson</t>
  </si>
  <si>
    <t xml:space="preserve">Vietnamese</t>
  </si>
  <si>
    <t xml:space="preserve">https://www.sopho.com.sg/</t>
  </si>
  <si>
    <t xml:space="preserve">com-cf0d9217</t>
  </si>
  <si>
    <t xml:space="preserve">Springleaf Prata</t>
  </si>
  <si>
    <t xml:space="preserve">1 Thong Soon Avenue</t>
  </si>
  <si>
    <t xml:space="preserve">787431</t>
  </si>
  <si>
    <t xml:space="preserve">Springleaf</t>
  </si>
  <si>
    <t xml:space="preserve">S26</t>
  </si>
  <si>
    <t xml:space="preserve">D26</t>
  </si>
  <si>
    <t xml:space="preserve">Source: OpenStreetMap (© OpenStreetMap contributors, ODbL). OSM record last updated 2025-07-18. Postal code from OneMap, Singapore Land Authority, under the Singapore Open Data Licence v1.0.</t>
  </si>
  <si>
    <t xml:space="preserve">com-157d0dfa</t>
  </si>
  <si>
    <t xml:space="preserve">Springleaf Prata Place</t>
  </si>
  <si>
    <t xml:space="preserve">#01-64, Sunset Way, Block 106 Clementi Street 12</t>
  </si>
  <si>
    <t xml:space="preserve">120106</t>
  </si>
  <si>
    <t xml:space="preserve">Source: OpenStreetMap (© OpenStreetMap contributors, ODbL). OSM record last updated 2024-06-27.</t>
  </si>
  <si>
    <t xml:space="preserve">https://www.spplace.com/</t>
  </si>
  <si>
    <t xml:space="preserve">com-5c8596da</t>
  </si>
  <si>
    <t xml:space="preserve">396 Upper Bukit Timah Road, The Rail Mall</t>
  </si>
  <si>
    <t xml:space="preserve">678048</t>
  </si>
  <si>
    <t xml:space="preserve">com-80c0c8dd</t>
  </si>
  <si>
    <t xml:space="preserve">Stuff'd</t>
  </si>
  <si>
    <t xml:space="preserve">Salad, Mexican</t>
  </si>
  <si>
    <t xml:space="preserve">https://www.stuffd.com/sg/</t>
  </si>
  <si>
    <t xml:space="preserve">com-81fa7841</t>
  </si>
  <si>
    <t xml:space="preserve">Stuff’d</t>
  </si>
  <si>
    <t xml:space="preserve">10 Sinaran Drive</t>
  </si>
  <si>
    <t xml:space="preserve">307506</t>
  </si>
  <si>
    <t xml:space="preserve">Mexican, Kebab</t>
  </si>
  <si>
    <t xml:space="preserve">Source: OpenStreetMap (© OpenStreetMap contributors, ODbL). OSM record last updated 2025-02-19. Postal code from OneMap, Singapore Land Authority, under the Singapore Open Data Licence v1.0.</t>
  </si>
  <si>
    <t xml:space="preserve">com-b1085543</t>
  </si>
  <si>
    <t xml:space="preserve">17 Petir Road, #B2-40</t>
  </si>
  <si>
    <t xml:space="preserve">com-882a4ac8</t>
  </si>
  <si>
    <t xml:space="preserve">Subway</t>
  </si>
  <si>
    <t xml:space="preserve">Sandwich</t>
  </si>
  <si>
    <t xml:space="preserve">Source: OpenStreetMap (© OpenStreetMap contributors, ODbL). OSM record last updated 2023-05-18. Postal code from OneMap, Singapore Land Authority, under the Singapore Open Data Licence v1.0.</t>
  </si>
  <si>
    <t xml:space="preserve">com-191cb1c7</t>
  </si>
  <si>
    <t xml:space="preserve">Source: OpenStreetMap (© OpenStreetMap contributors, ODbL). OSM record last updated 2026-05-07.</t>
  </si>
  <si>
    <t xml:space="preserve">com-51a2afb4</t>
  </si>
  <si>
    <t xml:space="preserve">https://www.subway.com/en-SG</t>
  </si>
  <si>
    <t xml:space="preserve">com-c647a41e</t>
  </si>
  <si>
    <t xml:space="preserve">1 Marine Parade Central</t>
  </si>
  <si>
    <t xml:space="preserve">449408</t>
  </si>
  <si>
    <t xml:space="preserve">Source: OpenStreetMap (© OpenStreetMap contributors, ODbL). OSM record last updated 2023-09-10. Postal code from OneMap, Singapore Land Authority, under the Singapore Open Data Licence v1.0.</t>
  </si>
  <si>
    <t xml:space="preserve">com-38cd2176</t>
  </si>
  <si>
    <t xml:space="preserve">Esplanade Mall</t>
  </si>
  <si>
    <t xml:space="preserve">Source: OpenStreetMap (© OpenStreetMap contributors, ODbL). OSM record last updated 2024-04-14.</t>
  </si>
  <si>
    <t xml:space="preserve">com-47a2c783</t>
  </si>
  <si>
    <t xml:space="preserve">B1 Chinatown Point</t>
  </si>
  <si>
    <t xml:space="preserve">Source: OpenStreetMap (© OpenStreetMap contributors, ODbL). OSM record last updated 2026-05-04.</t>
  </si>
  <si>
    <t xml:space="preserve">com-94974045</t>
  </si>
  <si>
    <t xml:space="preserve">1 Jurong West Central 2</t>
  </si>
  <si>
    <t xml:space="preserve">648886</t>
  </si>
  <si>
    <t xml:space="preserve">Source: OpenStreetMap (© OpenStreetMap contributors, ODbL). OSM record last updated 2025-06-06. Postal code from OneMap, Singapore Land Authority, under the Singapore Open Data Licence v1.0.</t>
  </si>
  <si>
    <t xml:space="preserve">com-724748f3</t>
  </si>
  <si>
    <t xml:space="preserve">Loyang Point</t>
  </si>
  <si>
    <t xml:space="preserve">Source: OpenStreetMap (© OpenStreetMap contributors, ODbL). OSM record last updated 2026-08-22.</t>
  </si>
  <si>
    <t xml:space="preserve">com-917f8f9b</t>
  </si>
  <si>
    <t xml:space="preserve">Sukiya</t>
  </si>
  <si>
    <t xml:space="preserve">#01-28/29/30 The Seletar Mall</t>
  </si>
  <si>
    <t xml:space="preserve">Beef Bowl</t>
  </si>
  <si>
    <t xml:space="preserve">https://www.sukiya.com.sg/</t>
  </si>
  <si>
    <t xml:space="preserve">com-3ecdb1a7</t>
  </si>
  <si>
    <t xml:space="preserve">Japanese, Beef Bowl</t>
  </si>
  <si>
    <t xml:space="preserve">com-f8932a91</t>
  </si>
  <si>
    <r>
      <rPr>
        <sz val="11"/>
        <color theme="1"/>
        <rFont val="Calibri"/>
        <family val="2"/>
        <charset val="1"/>
      </rPr>
      <t xml:space="preserve">Sukiya </t>
    </r>
    <r>
      <rPr>
        <sz val="11"/>
        <color theme="1"/>
        <rFont val="Noto Sans CJK SC"/>
        <family val="2"/>
      </rPr>
      <t xml:space="preserve">すき家</t>
    </r>
  </si>
  <si>
    <t xml:space="preserve">6 Raffles Boulevard</t>
  </si>
  <si>
    <t xml:space="preserve">039594</t>
  </si>
  <si>
    <t xml:space="preserve">Source: OpenStreetMap (© OpenStreetMap contributors, ODbL). OSM record last updated 2023-09-22.</t>
  </si>
  <si>
    <t xml:space="preserve">com-411644ed</t>
  </si>
  <si>
    <t xml:space="preserve">B1F Funan</t>
  </si>
  <si>
    <t xml:space="preserve">Source: OpenStreetMap (© OpenStreetMap contributors, ODbL). OSM record last updated 2025-01-28.</t>
  </si>
  <si>
    <t xml:space="preserve">com-8ecd0cfc</t>
  </si>
  <si>
    <t xml:space="preserve">Summer Folks Cafe &amp; Steakhouse</t>
  </si>
  <si>
    <t xml:space="preserve">124 Beach Road, #01-06</t>
  </si>
  <si>
    <t xml:space="preserve">189771</t>
  </si>
  <si>
    <t xml:space="preserve">Steak House</t>
  </si>
  <si>
    <t xml:space="preserve">Source: OpenStreetMap (© OpenStreetMap contributors, ODbL). OSM record last updated 2025-08-14.</t>
  </si>
  <si>
    <t xml:space="preserve">com-777c5bf3</t>
  </si>
  <si>
    <t xml:space="preserve">Super Sushi</t>
  </si>
  <si>
    <t xml:space="preserve">https://linktr.ee/supersushisg</t>
  </si>
  <si>
    <t xml:space="preserve">com-66319b3f</t>
  </si>
  <si>
    <t xml:space="preserve">Swensen's</t>
  </si>
  <si>
    <t xml:space="preserve">#01-92/93 IMM</t>
  </si>
  <si>
    <t xml:space="preserve">com-06f46014</t>
  </si>
  <si>
    <t xml:space="preserve">Syams Corner</t>
  </si>
  <si>
    <t xml:space="preserve">190 Middle Road, #01-08</t>
  </si>
  <si>
    <t xml:space="preserve">188979</t>
  </si>
  <si>
    <t xml:space="preserve">Source: OpenStreetMap (© OpenStreetMap contributors, ODbL). OSM record last updated 2025-05-04. Postal code from OneMap, Singapore Land Authority, under the Singapore Open Data Licence v1.0.</t>
  </si>
  <si>
    <t xml:space="preserve">com-d5bf3db4</t>
  </si>
  <si>
    <t xml:space="preserve">Tandoori Khazana</t>
  </si>
  <si>
    <t xml:space="preserve">Victoria Street</t>
  </si>
  <si>
    <t xml:space="preserve">Steak</t>
  </si>
  <si>
    <t xml:space="preserve">Source: OpenStreetMap (© OpenStreetMap contributors, ODbL). OSM record last updated 2026-05-19.</t>
  </si>
  <si>
    <t xml:space="preserve">com-b6f663fd</t>
  </si>
  <si>
    <t xml:space="preserve">Tang Tea House</t>
  </si>
  <si>
    <t xml:space="preserve">242, Jalan Kayu</t>
  </si>
  <si>
    <t xml:space="preserve">799466</t>
  </si>
  <si>
    <t xml:space="preserve">Source: OpenStreetMap (© OpenStreetMap contributors, ODbL). OSM record last updated 2026-07-02.</t>
  </si>
  <si>
    <t xml:space="preserve">com-6af1a79e</t>
  </si>
  <si>
    <t xml:space="preserve">Taste of Indonesia</t>
  </si>
  <si>
    <t xml:space="preserve">https://www.tasteofindonesia.com/</t>
  </si>
  <si>
    <t xml:space="preserve">com-1c915464</t>
  </si>
  <si>
    <t xml:space="preserve">Thai Express</t>
  </si>
  <si>
    <t xml:space="preserve">https://www.thaiexpress.com.sg/</t>
  </si>
  <si>
    <t xml:space="preserve">com-189a837f</t>
  </si>
  <si>
    <t xml:space="preserve">The French American Bakery</t>
  </si>
  <si>
    <t xml:space="preserve">49 Haji Lane</t>
  </si>
  <si>
    <t xml:space="preserve">189242</t>
  </si>
  <si>
    <t xml:space="preserve">Source: OpenStreetMap (© OpenStreetMap contributors, ODbL). OSM record last updated 2024-10-09.</t>
  </si>
  <si>
    <t xml:space="preserve">com-8c21c6c5</t>
  </si>
  <si>
    <t xml:space="preserve">The Halia</t>
  </si>
  <si>
    <t xml:space="preserve">1 Cluny Road, Singapore Botanic Gardens</t>
  </si>
  <si>
    <t xml:space="preserve">259569</t>
  </si>
  <si>
    <t xml:space="preserve">Source: OpenStreetMap (© OpenStreetMap contributors, ODbL). OSM record last updated 2024-10-03.</t>
  </si>
  <si>
    <t xml:space="preserve">https://thehalia.com/</t>
  </si>
  <si>
    <t xml:space="preserve">com-8b1b6e42</t>
  </si>
  <si>
    <t xml:space="preserve">The Malayan Council</t>
  </si>
  <si>
    <t xml:space="preserve">71 Bussorah Street</t>
  </si>
  <si>
    <t xml:space="preserve">199484</t>
  </si>
  <si>
    <t xml:space="preserve">Source: OpenStreetMap (© OpenStreetMap contributors, ODbL). OSM record last updated 2024-10-07. Postal code from OneMap, Singapore Land Authority, under the Singapore Open Data Licence v1.0.</t>
  </si>
  <si>
    <t xml:space="preserve">com-cd03318a</t>
  </si>
  <si>
    <t xml:space="preserve">22 Dunlop Street</t>
  </si>
  <si>
    <t xml:space="preserve">209350</t>
  </si>
  <si>
    <t xml:space="preserve">Source: OpenStreetMap (© OpenStreetMap contributors, ODbL). OSM record last updated 2025-09-10. Postal code from OneMap, Singapore Land Authority, under the Singapore Open Data Licence v1.0.</t>
  </si>
  <si>
    <t xml:space="preserve">https://www.themalayancouncil.sg/outlets/dunlop</t>
  </si>
  <si>
    <t xml:space="preserve">com-330cf647</t>
  </si>
  <si>
    <t xml:space="preserve">Thohirah Restaurant</t>
  </si>
  <si>
    <t xml:space="preserve">258, Jalan Kayu</t>
  </si>
  <si>
    <t xml:space="preserve">799487</t>
  </si>
  <si>
    <t xml:space="preserve">com-ae736c95</t>
  </si>
  <si>
    <t xml:space="preserve">Time for Thai</t>
  </si>
  <si>
    <t xml:space="preserve">15 Cheong Chin Nam Road</t>
  </si>
  <si>
    <t xml:space="preserve">599739</t>
  </si>
  <si>
    <t xml:space="preserve">http://www.timeforthai.com.sg/</t>
  </si>
  <si>
    <t xml:space="preserve">com-3f786da7</t>
  </si>
  <si>
    <t xml:space="preserve">Twyst</t>
  </si>
  <si>
    <t xml:space="preserve">Italian</t>
  </si>
  <si>
    <t xml:space="preserve">https://www.twyst.sg/</t>
  </si>
  <si>
    <t xml:space="preserve">com-60168d66</t>
  </si>
  <si>
    <t xml:space="preserve">Wan Aneka Selera</t>
  </si>
  <si>
    <t xml:space="preserve">257 Bangkit Road</t>
  </si>
  <si>
    <t xml:space="preserve">670257</t>
  </si>
  <si>
    <t xml:space="preserve">Source: OpenStreetMap (© OpenStreetMap contributors, ODbL). OSM record last updated 2024-09-09. Postal code from OneMap, Singapore Land Authority, under the Singapore Open Data Licence v1.0.</t>
  </si>
  <si>
    <t xml:space="preserve">com-bcca3d0e</t>
  </si>
  <si>
    <t xml:space="preserve">Western</t>
  </si>
  <si>
    <t xml:space="preserve">com-e223ca11</t>
  </si>
  <si>
    <t xml:space="preserve">Whampoa Makan Place</t>
  </si>
  <si>
    <t xml:space="preserve">90 Whampoa Drive</t>
  </si>
  <si>
    <t xml:space="preserve">Source: OpenStreetMap (© OpenStreetMap contributors, ODbL). OSM record last updated 2026-01-12.</t>
  </si>
  <si>
    <t xml:space="preserve">com-7069d474</t>
  </si>
  <si>
    <t xml:space="preserve">Wingstop</t>
  </si>
  <si>
    <t xml:space="preserve">#02-143 VivoCity</t>
  </si>
  <si>
    <t xml:space="preserve">Wings</t>
  </si>
  <si>
    <t xml:space="preserve">Source: OpenStreetMap (© OpenStreetMap contributors, ODbL). OSM record last updated 2024-12-02.</t>
  </si>
  <si>
    <t xml:space="preserve">com-5f822c2d</t>
  </si>
  <si>
    <t xml:space="preserve">Wok Hey</t>
  </si>
  <si>
    <t xml:space="preserve">83 Punggol Central, #01-K6</t>
  </si>
  <si>
    <t xml:space="preserve">828761</t>
  </si>
  <si>
    <t xml:space="preserve">Punggol</t>
  </si>
  <si>
    <t xml:space="preserve">Stir Fry</t>
  </si>
  <si>
    <t xml:space="preserve">Source: OpenStreetMap (© OpenStreetMap contributors, ODbL). OSM record last updated 2026-08-10.</t>
  </si>
  <si>
    <t xml:space="preserve">com-96777331</t>
  </si>
  <si>
    <t xml:space="preserve">https://www.wokhey.sg/</t>
  </si>
  <si>
    <t xml:space="preserve">com-4fb7394e</t>
  </si>
  <si>
    <t xml:space="preserve">Yakader Muslim Food</t>
  </si>
  <si>
    <t xml:space="preserve">665, #01-259, Tekka Market</t>
  </si>
  <si>
    <t xml:space="preserve">Source: OpenStreetMap (© OpenStreetMap contributors, ODbL). OSM record last updated 2024-09-22.</t>
  </si>
  <si>
    <t xml:space="preserve">com-84f1b812</t>
  </si>
  <si>
    <t xml:space="preserve">Yakiniku OK!</t>
  </si>
  <si>
    <t xml:space="preserve">https://www.facebook.com/yakinikuok/</t>
  </si>
  <si>
    <t xml:space="preserve">com-86c646aa</t>
  </si>
  <si>
    <t xml:space="preserve">Zheng Hua 257 Coffee Shop</t>
  </si>
  <si>
    <t xml:space="preserve">Area</t>
  </si>
  <si>
    <t xml:space="preserve">Planning Region</t>
  </si>
  <si>
    <t xml:space="preserve">Notes</t>
  </si>
  <si>
    <t xml:space="preserve">01</t>
  </si>
  <si>
    <t xml:space="preserve">Central</t>
  </si>
  <si>
    <t xml:space="preserve">02</t>
  </si>
  <si>
    <t xml:space="preserve">03</t>
  </si>
  <si>
    <t xml:space="preserve">04</t>
  </si>
  <si>
    <t xml:space="preserve">05</t>
  </si>
  <si>
    <t xml:space="preserve">06</t>
  </si>
  <si>
    <t xml:space="preserve">07</t>
  </si>
  <si>
    <t xml:space="preserve">08</t>
  </si>
  <si>
    <t xml:space="preserve">09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</si>
  <si>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</si>
  <si>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</si>
  <si>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</si>
  <si>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</si>
  <si>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</si>
  <si>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West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</si>
  <si>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</si>
  <si>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</si>
  <si>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</si>
  <si>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</si>
  <si>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</si>
  <si>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</si>
  <si>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</si>
  <si>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</si>
  <si>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S9</t>
  </si>
  <si>
    <t xml:space="preserve">D9</t>
  </si>
  <si>
    <t xml:space="preserve">Orchard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</si>
  <si>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</si>
  <si>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</si>
  <si>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</si>
  <si>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</si>
  <si>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</si>
  <si>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Holland Village</t>
  </si>
  <si>
    <t xml:space="preserve">28</t>
  </si>
  <si>
    <t xml:space="preserve">29</t>
  </si>
  <si>
    <t xml:space="preserve">30</t>
  </si>
  <si>
    <t xml:space="preserve">31</t>
  </si>
  <si>
    <t xml:space="preserve">Balestier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</si>
  <si>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</si>
  <si>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</si>
  <si>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</si>
  <si>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</si>
  <si>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</si>
  <si>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</si>
  <si>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</si>
  <si>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East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</si>
  <si>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</si>
  <si>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</si>
  <si>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</si>
  <si>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</si>
  <si>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</si>
  <si>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</si>
  <si>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</si>
  <si>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Marine Parade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</si>
  <si>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</si>
  <si>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</si>
  <si>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</si>
  <si>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</si>
  <si>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</si>
  <si>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</si>
  <si>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</si>
  <si>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</si>
  <si>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North-East</t>
  </si>
  <si>
    <t xml:space="preserve">54</t>
  </si>
  <si>
    <t xml:space="preserve">55</t>
  </si>
  <si>
    <t xml:space="preserve">56</t>
  </si>
  <si>
    <t xml:space="preserve">North</t>
  </si>
  <si>
    <t xml:space="preserve">57</t>
  </si>
  <si>
    <t xml:space="preserve">58</t>
  </si>
  <si>
    <t xml:space="preserve">Clementi</t>
  </si>
  <si>
    <t xml:space="preserve">59</t>
  </si>
  <si>
    <t xml:space="preserve">60</t>
  </si>
  <si>
    <t xml:space="preserve">Jurong East</t>
  </si>
  <si>
    <t xml:space="preserve">61</t>
  </si>
  <si>
    <t xml:space="preserve">Jurong West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</si>
  <si>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</si>
  <si>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</si>
  <si>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</si>
  <si>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</si>
  <si>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</si>
  <si>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</si>
  <si>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</si>
  <si>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</si>
  <si>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S24</t>
  </si>
  <si>
    <t xml:space="preserve">D24</t>
  </si>
  <si>
    <t xml:space="preserve">Lim Chu Kang</t>
  </si>
  <si>
    <t xml:space="preserve">70</t>
  </si>
  <si>
    <t xml:space="preserve">Tengah</t>
  </si>
  <si>
    <t xml:space="preserve">71</t>
  </si>
  <si>
    <t xml:space="preserve">72</t>
  </si>
  <si>
    <t xml:space="preserve">S25</t>
  </si>
  <si>
    <t xml:space="preserve">D25</t>
  </si>
  <si>
    <t xml:space="preserve">Woodlands</t>
  </si>
  <si>
    <t xml:space="preserve">73</t>
  </si>
  <si>
    <t xml:space="preserve">74</t>
  </si>
  <si>
    <t xml:space="preserve">Upper Thomson</t>
  </si>
  <si>
    <t xml:space="preserve">75</t>
  </si>
  <si>
    <t xml:space="preserve">76</t>
  </si>
  <si>
    <t xml:space="preserve">Sembawang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</si>
  <si>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</si>
  <si>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</si>
  <si>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</si>
  <si>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</si>
  <si>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</si>
  <si>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</si>
  <si>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</si>
  <si>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Tuas</t>
  </si>
  <si>
    <t xml:space="preserve">Declaration Value</t>
  </si>
  <si>
    <t xml:space="preserve">Self-declared Muslim-friendly</t>
  </si>
  <si>
    <t xml:space="preserve">TRUE</t>
  </si>
  <si>
    <t xml:space="preserve">Muis (Singapore)</t>
  </si>
  <si>
    <t xml:space="preserve">Ready</t>
  </si>
  <si>
    <t xml:space="preserve">Japan</t>
  </si>
  <si>
    <t xml:space="preserve">Café / Brunch</t>
  </si>
  <si>
    <t xml:space="preserve">JAKIM (Malaysia)</t>
  </si>
  <si>
    <t xml:space="preserve">Coordinates required</t>
  </si>
  <si>
    <t xml:space="preserve">Malaysia</t>
  </si>
  <si>
    <t xml:space="preserve">Bar &amp; Grill</t>
  </si>
  <si>
    <t xml:space="preserve">Halal certified</t>
  </si>
  <si>
    <t xml:space="preserve">Not Stated</t>
  </si>
  <si>
    <t xml:space="preserve">MUI (Indonesia)</t>
  </si>
  <si>
    <t xml:space="preserve">Indonesia</t>
  </si>
  <si>
    <t xml:space="preserve">Korean</t>
  </si>
  <si>
    <t xml:space="preserve">Bistro</t>
  </si>
  <si>
    <t xml:space="preserve">Pending verification</t>
  </si>
  <si>
    <t xml:space="preserve">Other</t>
  </si>
  <si>
    <t xml:space="preserve">United Kingdom</t>
  </si>
  <si>
    <t xml:space="preserve">Casual Dining</t>
  </si>
  <si>
    <t xml:space="preserve">Listed — Declaration pending</t>
  </si>
  <si>
    <t xml:space="preserve">United States</t>
  </si>
  <si>
    <t xml:space="preserve">Australia</t>
  </si>
  <si>
    <t xml:space="preserve">Hawker</t>
  </si>
  <si>
    <t xml:space="preserve">Hotel Restaurant</t>
  </si>
  <si>
    <t xml:space="preserve">Caterer</t>
  </si>
  <si>
    <t xml:space="preserve">Mediterranean</t>
  </si>
  <si>
    <t xml:space="preserve">Fusion</t>
  </si>
  <si>
    <t xml:space="preserve">International</t>
  </si>
  <si>
    <t xml:space="preserve">Local / Hawker</t>
  </si>
  <si>
    <t xml:space="preserve">Middle Eastern</t>
  </si>
  <si>
    <t xml:space="preserve">Licence</t>
  </si>
  <si>
    <t xml:space="preserve">Open Database Licence (ODbL) 1.0 — https://opendatacommons.org/licenses/odbl/1-0/</t>
  </si>
  <si>
    <t xml:space="preserve">Attribution</t>
  </si>
  <si>
    <t xml:space="preserve">Contains information from OpenStreetMap (© OpenStreetMap contributors), available under the ODbL. https://www.openstreetmap.org/copyright</t>
  </si>
  <si>
    <t xml:space="preserve">Scope</t>
  </si>
  <si>
    <t xml:space="preserve">This file holds community-suggested listings derived from OpenStreetMap. It is a separate database from muslim-friendly-establishments.xlsx (establishment declarations and verified certifications), which is not covered by this licence.</t>
  </si>
  <si>
    <t xml:space="preserve">Status</t>
  </si>
  <si>
    <t xml:space="preserve">Community-suggested listings are NOT verified. An OpenStreetMap halal tag is not evidence of halal certification.</t>
  </si>
  <si>
    <t xml:space="preserve">Postal codes</t>
  </si>
  <si>
    <t xml:space="preserve">Postal code from OneMap, Singapore Land Authority, under the Singapore Open Data Licence v1.0 (where noted on a listing).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</si>
</sst>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Calibri"/>
      <family val="0"/>
      <charset val="1"/>
    </font>
    <font>
      <sz val="9"/>
      <color rgb="FF0A0F1E"/>
      <name val="Calibri"/>
      <family val="0"/>
      <charset val="1"/>
    </font>
    <font>
      <sz val="11"/>
      <color theme="1"/>
      <name val="Noto Sans CJK SC"/>
      <family val="2"/>
    </font>
    <font>
      <sz val="9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5C3A"/>
        <bgColor rgb="FF1F618D"/>
      </patternFill>
    </fill>
    <fill>
      <patternFill patternType="solid">
        <fgColor rgb="FF0D3B6E"/>
        <bgColor rgb="FF1A5C3A"/>
      </patternFill>
    </fill>
    <fill>
      <patternFill patternType="solid">
        <fgColor rgb="FF1F618D"/>
        <bgColor rgb="FF1A5C3A"/>
      </patternFill>
    </fill>
    <fill>
      <patternFill patternType="solid">
        <fgColor rgb="FF5D6D7E"/>
        <bgColor rgb="FF808080"/>
      </patternFill>
    </fill>
    <fill>
      <patternFill patternType="solid">
        <fgColor rgb="FFD5F5E3"/>
        <bgColor rgb="FFD6EAF8"/>
      </patternFill>
    </fill>
    <fill>
      <patternFill patternType="solid">
        <fgColor rgb="FFD6EAF8"/>
        <bgColor rgb="FFD5F5E3"/>
      </patternFill>
    </fill>
    <fill>
      <patternFill patternType="solid">
        <fgColor rgb="FFF2F3F4"/>
        <bgColor rgb="FFEDE9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A5C3A"/>
          <bgColor rgb="FF000000"/>
        </patternFill>
      </fill>
    </dxf>
    <dxf>
      <fill>
        <patternFill patternType="solid">
          <fgColor rgb="FFD5F5E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A0F1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D3B6E"/>
          <bgColor rgb="FF000000"/>
        </patternFill>
      </fill>
    </dxf>
    <dxf>
      <fill>
        <patternFill patternType="solid">
          <fgColor rgb="FFD6EAF8"/>
          <bgColor rgb="FF000000"/>
        </patternFill>
      </fill>
    </dxf>
    <dxf>
      <fill>
        <patternFill patternType="solid">
          <fgColor rgb="FF1F618D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92400E"/>
          <bgColor rgb="FF000000"/>
        </patternFill>
      </fill>
    </dxf>
    <dxf>
      <fill>
        <patternFill patternType="solid">
          <fgColor rgb="FF5D6D7E"/>
          <bgColor rgb="FF000000"/>
        </patternFill>
      </fill>
    </dxf>
    <dxf>
      <font>
        <name val="Calibri"/>
        <charset val="1"/>
        <family val="0"/>
        <b val="1"/>
        <color rgb="FF1A5C3A"/>
        <sz val="9"/>
      </font>
      <fill>
        <patternFill>
          <bgColor rgb="FFD5F5E3"/>
        </patternFill>
      </fill>
    </dxf>
    <dxf>
      <font>
        <name val="Calibri"/>
        <charset val="1"/>
        <family val="0"/>
        <b val="1"/>
        <color rgb="FF5B21B6"/>
        <sz val="9"/>
      </font>
      <fill>
        <patternFill>
          <bgColor rgb="FFEDE9FE"/>
        </patternFill>
      </fill>
    </dxf>
    <dxf>
      <font>
        <name val="Calibri"/>
        <charset val="1"/>
        <family val="0"/>
        <color rgb="FF92400E"/>
        <sz val="9"/>
      </font>
      <fill>
        <patternFill>
          <bgColor rgb="FFFEF3C7"/>
        </patternFill>
      </fill>
    </dxf>
    <dxf>
      <font>
        <name val="Calibri"/>
        <charset val="1"/>
        <family val="0"/>
        <color rgb="FF9B1C1C"/>
        <sz val="9"/>
      </font>
      <fill>
        <patternFill>
          <bgColor rgb="FFFDE8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B1C1C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3C7"/>
      <rgbColor rgb="FFD6EAF8"/>
      <rgbColor rgb="FF660066"/>
      <rgbColor rgb="FFFF8080"/>
      <rgbColor rgb="FF1F618D"/>
      <rgbColor rgb="FFEDE9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3F4"/>
      <rgbColor rgb="FFD5F5E3"/>
      <rgbColor rgb="FFFDE8E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D6D7E"/>
      <rgbColor rgb="FF969696"/>
      <rgbColor rgb="FF0D3B6E"/>
      <rgbColor rgb="FF339966"/>
      <rgbColor rgb="FF0A0F1E"/>
      <rgbColor rgb="FF333300"/>
      <rgbColor rgb="FF92400E"/>
      <rgbColor rgb="FF993366"/>
      <rgbColor rgb="FF5B21B6"/>
      <rgbColor rgb="FF1A5C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Establishments" displayName="tblEstablishments" ref="A1:AX211" headerRowCount="1" totalsRowCount="0" totalsRowShown="0">
  <autoFilter ref="A1:AX211"/>
  <tableColumns count="50">
    <tableColumn id="1" name="ID"/>
    <tableColumn id="2" name="Name"/>
    <tableColumn id="3" name="Country"/>
    <tableColumn id="4" name="Address"/>
    <tableColumn id="5" name="Postal Code"/>
    <tableColumn id="6" name="Postal Prefix"/>
    <tableColumn id="7" name="Area / Prefecture Override"/>
    <tableColumn id="8" name="Area / Prefecture"/>
    <tableColumn id="9" name="Postal Sector"/>
    <tableColumn id="10" name="Postal District"/>
    <tableColumn id="11" name="Cuisine"/>
    <tableColumn id="12" name="Establishment Type"/>
    <tableColumn id="13" name="Latitude"/>
    <tableColumn id="14" name="Longitude"/>
    <tableColumn id="15" name="Listing Status"/>
    <tableColumn id="16" name="Basis of Listing"/>
    <tableColumn id="17" name="Halal Certified"/>
    <tableColumn id="18" name="Certification Status"/>
    <tableColumn id="19" name="Certifying Body"/>
    <tableColumn id="20" name="Certificate Expiry"/>
    <tableColumn id="21" name="No Pork Declared"/>
    <tableColumn id="22" name="No Lard Declared"/>
    <tableColumn id="23" name="Halal-Certified Meat"/>
    <tableColumn id="24" name="Alcohol Served"/>
    <tableColumn id="25" name="Alcohol in Menu"/>
    <tableColumn id="26" name="Shared Kitchen"/>
    <tableColumn id="27" name="Shared Utensils"/>
    <tableColumn id="28" name="Shared Fryer"/>
    <tableColumn id="29" name="Shared Grill"/>
    <tableColumn id="30" name="Prayer Space"/>
    <tableColumn id="31" name="Prayer Mat"/>
    <tableColumn id="32" name="Qibla Direction"/>
    <tableColumn id="33" name="Water Facilities"/>
    <tableColumn id="34" name="Declaration Text Override"/>
    <tableColumn id="35" name="Declaration Text"/>
    <tableColumn id="36" name="Cross-Contact Note"/>
    <tableColumn id="37" name="Additional Notes"/>
    <tableColumn id="38" name="Declaration Date"/>
    <tableColumn id="39" name="Last Updated"/>
    <tableColumn id="40" name="Website URL"/>
    <tableColumn id="41" name="Instagram URL"/>
    <tableColumn id="42" name="Location URL"/>
    <tableColumn id="43" name="Directions URL"/>
    <tableColumn id="44" name="Reviews URL"/>
    <tableColumn id="45" name="Image URL"/>
    <tableColumn id="46" name="Is Demo"/>
    <tableColumn id="47" name="Demo Disclaimer"/>
    <tableColumn id="48" name="Data Completeness"/>
    <tableColumn id="49" name="Map Ready"/>
    <tableColumn id="50" name="Record Validation"/>
  </tableColumns>
</table>
</file>

<file path=xl/tables/table2.xml><?xml version="1.0" encoding="utf-8"?>
<table xmlns="http://schemas.openxmlformats.org/spreadsheetml/2006/main" id="2" name="tblSingaporePostal" displayName="tblSingaporePostal" ref="A1:F84" headerRowCount="1" totalsRowCount="0" totalsRowShown="0">
  <autoFilter ref="A1:F84"/>
  <tableColumns count="6">
    <tableColumn id="1" name="Postal Prefix"/>
    <tableColumn id="2" name="Postal Sector"/>
    <tableColumn id="3" name="Postal District"/>
    <tableColumn id="4" name="Area"/>
    <tableColumn id="5" name="Planning Region"/>
    <tableColumn id="6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10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B10" activeCellId="0" sqref="B10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36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26"/>
    <col collapsed="false" customWidth="true" hidden="false" outlineLevel="0" max="8" min="8" style="1" width="22"/>
    <col collapsed="false" customWidth="true" hidden="false" outlineLevel="0" max="9" min="9" style="1" width="14"/>
    <col collapsed="false" customWidth="true" hidden="false" outlineLevel="0" max="10" min="10" style="1" width="16"/>
    <col collapsed="false" customWidth="true" hidden="false" outlineLevel="0" max="11" min="11" style="1" width="18"/>
    <col collapsed="false" customWidth="true" hidden="false" outlineLevel="0" max="12" min="12" style="1" width="20"/>
    <col collapsed="false" customWidth="true" hidden="false" outlineLevel="0" max="14" min="13" style="1" width="12"/>
    <col collapsed="false" customWidth="true" hidden="false" outlineLevel="0" max="15" min="15" style="1" width="28"/>
    <col collapsed="false" customWidth="true" hidden="false" outlineLevel="0" max="16" min="16" style="1" width="32"/>
    <col collapsed="false" customWidth="true" hidden="false" outlineLevel="0" max="17" min="17" style="1" width="14"/>
    <col collapsed="false" customWidth="true" hidden="false" outlineLevel="0" max="18" min="18" style="1" width="34"/>
    <col collapsed="false" customWidth="true" hidden="false" outlineLevel="0" max="19" min="19" style="1" width="20"/>
    <col collapsed="false" customWidth="true" hidden="false" outlineLevel="0" max="22" min="20" style="1" width="16"/>
    <col collapsed="false" customWidth="true" hidden="false" outlineLevel="0" max="23" min="23" style="1" width="18"/>
    <col collapsed="false" customWidth="true" hidden="false" outlineLevel="0" max="25" min="24" style="1" width="16"/>
    <col collapsed="false" customWidth="true" hidden="false" outlineLevel="0" max="26" min="26" style="1" width="14"/>
    <col collapsed="false" customWidth="true" hidden="false" outlineLevel="0" max="27" min="27" style="1" width="16"/>
    <col collapsed="false" customWidth="true" hidden="false" outlineLevel="0" max="31" min="28" style="1" width="14"/>
    <col collapsed="false" customWidth="true" hidden="false" outlineLevel="0" max="33" min="32" style="1" width="16"/>
    <col collapsed="false" customWidth="true" hidden="false" outlineLevel="0" max="34" min="34" style="1" width="46"/>
    <col collapsed="false" customWidth="true" hidden="false" outlineLevel="0" max="35" min="35" style="1" width="60"/>
    <col collapsed="false" customWidth="true" hidden="false" outlineLevel="0" max="37" min="36" style="1" width="46"/>
    <col collapsed="false" customWidth="true" hidden="false" outlineLevel="0" max="39" min="38" style="1" width="16"/>
    <col collapsed="false" customWidth="true" hidden="false" outlineLevel="0" max="45" min="40" style="1" width="32"/>
    <col collapsed="false" customWidth="true" hidden="false" outlineLevel="0" max="46" min="46" style="1" width="10"/>
    <col collapsed="false" customWidth="true" hidden="false" outlineLevel="0" max="47" min="47" style="1" width="60"/>
    <col collapsed="false" customWidth="true" hidden="false" outlineLevel="0" max="48" min="48" style="1" width="22"/>
    <col collapsed="false" customWidth="true" hidden="false" outlineLevel="0" max="49" min="49" style="1" width="18"/>
    <col collapsed="false" customWidth="true" hidden="false" outlineLevel="0" max="50" min="50" style="1" width="42"/>
  </cols>
  <sheetData>
    <row r="1" customFormat="false" ht="48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2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2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2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2" t="s">
        <v>46</v>
      </c>
      <c r="AV1" s="2" t="s">
        <v>47</v>
      </c>
      <c r="AW1" s="2" t="s">
        <v>48</v>
      </c>
      <c r="AX1" s="5" t="s">
        <v>49</v>
      </c>
    </row>
    <row r="2" customFormat="false" ht="60" hidden="false" customHeight="true" outlineLevel="0" collapsed="false">
      <c r="A2" s="6" t="s">
        <v>50</v>
      </c>
      <c r="B2" s="7" t="s">
        <v>51</v>
      </c>
      <c r="C2" s="7" t="s">
        <v>52</v>
      </c>
      <c r="D2" s="7" t="s">
        <v>53</v>
      </c>
      <c r="E2" s="8" t="s">
        <v>54</v>
      </c>
      <c r="F2" s="6" t="str">
        <f aca="false">IF(C2="Singapore",IF(LEN(TEXT(E2,"000000"))=6,LEFT(TEXT(E2,"000000"),2),""),"")</f>
        <v>32</v>
      </c>
      <c r="G2" s="8"/>
      <c r="H2" s="6" t="s">
        <v>55</v>
      </c>
      <c r="I2" s="6" t="s">
        <v>56</v>
      </c>
      <c r="J2" s="6" t="s">
        <v>57</v>
      </c>
      <c r="K2" s="8" t="s">
        <v>58</v>
      </c>
      <c r="L2" s="8" t="s">
        <v>59</v>
      </c>
      <c r="M2" s="8" t="n">
        <v>1.326394</v>
      </c>
      <c r="N2" s="8" t="n">
        <v>103.843389</v>
      </c>
      <c r="O2" s="8" t="s">
        <v>60</v>
      </c>
      <c r="P2" s="8" t="s">
        <v>61</v>
      </c>
      <c r="Q2" s="8"/>
      <c r="R2" s="6" t="s">
        <v>62</v>
      </c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 t="s">
        <v>63</v>
      </c>
      <c r="AI2" s="6" t="s">
        <v>63</v>
      </c>
      <c r="AJ2" s="8"/>
      <c r="AK2" s="8" t="s">
        <v>64</v>
      </c>
      <c r="AL2" s="8"/>
      <c r="AM2" s="9" t="s">
        <v>65</v>
      </c>
      <c r="AN2" s="8"/>
      <c r="AO2" s="8"/>
      <c r="AP2" s="8"/>
      <c r="AQ2" s="8"/>
      <c r="AR2" s="8"/>
      <c r="AS2" s="8"/>
      <c r="AT2" s="8" t="s">
        <v>66</v>
      </c>
      <c r="AU2" s="6" t="str">
        <f aca="false">IF(OR(AT2=TRUE(),AT2="TRUE"),"This sample listing is provided solely to demonstrate the directory interface. It does not represent a live declaration, verification, endorsement or participating establishment.","")</f>
        <v/>
      </c>
      <c r="AV2" s="6" t="str">
        <f aca="false">IF(OR(A2="",B2="",C2="",D2=""),"Missing required fields",IF(NOT(AND(ISNUMBER(M2),ISNUMBER(N2))),"Missing coordinates","Complete"))</f>
        <v>Complete</v>
      </c>
      <c r="AW2" s="6" t="str">
        <f aca="false">IF(AND(ISNUMBER(M2),ISNUMBER(N2)),"Ready","Coordinates required")</f>
        <v>Ready</v>
      </c>
      <c r="AX2" s="10" t="str">
        <f aca="false">IF(OR(AT2=TRUE(),AT2="TRUE"),"Demo record",IF(A2="","Missing ID",IF(B2="","Missing name",IF(NOT(AND(ISNUMBER(M2),ISNUMBER(N2))),"Coordinates required","Ready for publication"))))</f>
        <v>Ready for publication</v>
      </c>
    </row>
    <row r="3" customFormat="false" ht="60" hidden="false" customHeight="true" outlineLevel="0" collapsed="false">
      <c r="A3" s="6" t="s">
        <v>67</v>
      </c>
      <c r="B3" s="7" t="s">
        <v>51</v>
      </c>
      <c r="C3" s="7" t="s">
        <v>52</v>
      </c>
      <c r="D3" s="7" t="s">
        <v>68</v>
      </c>
      <c r="E3" s="8" t="s">
        <v>69</v>
      </c>
      <c r="F3" s="6" t="str">
        <f aca="false">IF(C3="Singapore",IF(LEN(TEXT(E3,"000000"))=6,LEFT(TEXT(E3,"000000"),2),""),"")</f>
        <v>51</v>
      </c>
      <c r="G3" s="8"/>
      <c r="H3" s="6" t="s">
        <v>70</v>
      </c>
      <c r="I3" s="6" t="s">
        <v>71</v>
      </c>
      <c r="J3" s="6" t="s">
        <v>72</v>
      </c>
      <c r="K3" s="8" t="s">
        <v>58</v>
      </c>
      <c r="L3" s="8" t="s">
        <v>59</v>
      </c>
      <c r="M3" s="8" t="n">
        <v>1.372414</v>
      </c>
      <c r="N3" s="8" t="n">
        <v>103.949326</v>
      </c>
      <c r="O3" s="8" t="s">
        <v>60</v>
      </c>
      <c r="P3" s="8" t="s">
        <v>73</v>
      </c>
      <c r="Q3" s="8"/>
      <c r="R3" s="6" t="s">
        <v>62</v>
      </c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 t="s">
        <v>63</v>
      </c>
      <c r="AI3" s="6" t="s">
        <v>63</v>
      </c>
      <c r="AJ3" s="8"/>
      <c r="AK3" s="8" t="s">
        <v>74</v>
      </c>
      <c r="AL3" s="8"/>
      <c r="AM3" s="9" t="n">
        <v>46311</v>
      </c>
      <c r="AN3" s="8" t="s">
        <v>75</v>
      </c>
      <c r="AO3" s="8"/>
      <c r="AP3" s="8"/>
      <c r="AQ3" s="8"/>
      <c r="AR3" s="8"/>
      <c r="AS3" s="8"/>
      <c r="AT3" s="8" t="s">
        <v>66</v>
      </c>
      <c r="AU3" s="6" t="str">
        <f aca="false">IF(OR(AT3=TRUE(),AT3="TRUE"),"This sample listing is provided solely to demonstrate the directory interface. It does not represent a live declaration, verification, endorsement or participating establishment.","")</f>
        <v/>
      </c>
      <c r="AV3" s="6" t="str">
        <f aca="false">IF(OR(A3="",B3="",C3="",D3=""),"Missing required fields",IF(NOT(AND(ISNUMBER(M3),ISNUMBER(N3))),"Missing coordinates","Complete"))</f>
        <v>Complete</v>
      </c>
      <c r="AW3" s="6" t="str">
        <f aca="false">IF(AND(ISNUMBER(M3),ISNUMBER(N3)),"Ready","Coordinates required")</f>
        <v>Ready</v>
      </c>
      <c r="AX3" s="10" t="str">
        <f aca="false">IF(OR(AT3=TRUE(),AT3="TRUE"),"Demo record",IF(A3="","Missing ID",IF(B3="","Missing name",IF(NOT(AND(ISNUMBER(M3),ISNUMBER(N3))),"Coordinates required","Ready for publication"))))</f>
        <v>Ready for publication</v>
      </c>
    </row>
    <row r="4" customFormat="false" ht="60" hidden="false" customHeight="true" outlineLevel="0" collapsed="false">
      <c r="A4" s="6" t="s">
        <v>76</v>
      </c>
      <c r="B4" s="7" t="s">
        <v>51</v>
      </c>
      <c r="C4" s="7" t="s">
        <v>52</v>
      </c>
      <c r="D4" s="7" t="s">
        <v>77</v>
      </c>
      <c r="E4" s="8" t="s">
        <v>78</v>
      </c>
      <c r="F4" s="6" t="str">
        <f aca="false">IF(C4="Singapore",IF(LEN(TEXT(E4,"000000"))=6,LEFT(TEXT(E4,"000000"),2),""),"")</f>
        <v>51</v>
      </c>
      <c r="G4" s="8"/>
      <c r="H4" s="6" t="s">
        <v>70</v>
      </c>
      <c r="I4" s="6" t="s">
        <v>71</v>
      </c>
      <c r="J4" s="6" t="s">
        <v>72</v>
      </c>
      <c r="K4" s="8" t="s">
        <v>58</v>
      </c>
      <c r="L4" s="8" t="s">
        <v>59</v>
      </c>
      <c r="M4" s="8" t="n">
        <v>1.373557</v>
      </c>
      <c r="N4" s="8" t="n">
        <v>103.948587</v>
      </c>
      <c r="O4" s="8" t="s">
        <v>60</v>
      </c>
      <c r="P4" s="8" t="s">
        <v>73</v>
      </c>
      <c r="Q4" s="8"/>
      <c r="R4" s="6" t="s">
        <v>62</v>
      </c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 t="s">
        <v>63</v>
      </c>
      <c r="AI4" s="6" t="s">
        <v>63</v>
      </c>
      <c r="AJ4" s="8"/>
      <c r="AK4" s="8" t="s">
        <v>79</v>
      </c>
      <c r="AL4" s="8"/>
      <c r="AM4" s="9" t="n">
        <v>46311</v>
      </c>
      <c r="AN4" s="8" t="s">
        <v>75</v>
      </c>
      <c r="AO4" s="8"/>
      <c r="AP4" s="8"/>
      <c r="AQ4" s="8"/>
      <c r="AR4" s="8"/>
      <c r="AS4" s="8"/>
      <c r="AT4" s="8" t="s">
        <v>66</v>
      </c>
      <c r="AU4" s="6" t="str">
        <f aca="false">IF(OR(AT4=TRUE(),AT4="TRUE"),"This sample listing is provided solely to demonstrate the directory interface. It does not represent a live declaration, verification, endorsement or participating establishment.","")</f>
        <v/>
      </c>
      <c r="AV4" s="6" t="str">
        <f aca="false">IF(OR(A4="",B4="",C4="",D4=""),"Missing required fields",IF(NOT(AND(ISNUMBER(M4),ISNUMBER(N4))),"Missing coordinates","Complete"))</f>
        <v>Complete</v>
      </c>
      <c r="AW4" s="6" t="str">
        <f aca="false">IF(AND(ISNUMBER(M4),ISNUMBER(N4)),"Ready","Coordinates required")</f>
        <v>Ready</v>
      </c>
      <c r="AX4" s="10" t="str">
        <f aca="false">IF(OR(AT4=TRUE(),AT4="TRUE"),"Demo record",IF(A4="","Missing ID",IF(B4="","Missing name",IF(NOT(AND(ISNUMBER(M4),ISNUMBER(N4))),"Coordinates required","Ready for publication"))))</f>
        <v>Ready for publication</v>
      </c>
    </row>
    <row r="5" customFormat="false" ht="60" hidden="false" customHeight="true" outlineLevel="0" collapsed="false">
      <c r="A5" s="6" t="s">
        <v>80</v>
      </c>
      <c r="B5" s="7" t="s">
        <v>51</v>
      </c>
      <c r="C5" s="7" t="s">
        <v>52</v>
      </c>
      <c r="D5" s="7" t="s">
        <v>81</v>
      </c>
      <c r="E5" s="8"/>
      <c r="F5" s="6" t="str">
        <f aca="false">IF(C5="Singapore",IF(LEN(TEXT(E5,"000000"))=6,LEFT(TEXT(E5,"000000"),2),""),"")</f>
        <v>00</v>
      </c>
      <c r="G5" s="8"/>
      <c r="H5" s="6"/>
      <c r="I5" s="6"/>
      <c r="J5" s="6"/>
      <c r="K5" s="8" t="s">
        <v>58</v>
      </c>
      <c r="L5" s="8" t="s">
        <v>59</v>
      </c>
      <c r="M5" s="8" t="n">
        <v>1.354472</v>
      </c>
      <c r="N5" s="8" t="n">
        <v>103.94483</v>
      </c>
      <c r="O5" s="8" t="s">
        <v>60</v>
      </c>
      <c r="P5" s="8" t="s">
        <v>61</v>
      </c>
      <c r="Q5" s="8"/>
      <c r="R5" s="6" t="s">
        <v>62</v>
      </c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 t="s">
        <v>63</v>
      </c>
      <c r="AI5" s="6" t="s">
        <v>63</v>
      </c>
      <c r="AJ5" s="8"/>
      <c r="AK5" s="8" t="s">
        <v>82</v>
      </c>
      <c r="AL5" s="8"/>
      <c r="AM5" s="9" t="n">
        <v>46311</v>
      </c>
      <c r="AN5" s="8"/>
      <c r="AO5" s="8"/>
      <c r="AP5" s="8"/>
      <c r="AQ5" s="8"/>
      <c r="AR5" s="8"/>
      <c r="AS5" s="8"/>
      <c r="AT5" s="8" t="s">
        <v>66</v>
      </c>
      <c r="AU5" s="6" t="str">
        <f aca="false">IF(OR(AT5=TRUE(),AT5="TRUE"),"This sample listing is provided solely to demonstrate the directory interface. It does not represent a live declaration, verification, endorsement or participating establishment.","")</f>
        <v/>
      </c>
      <c r="AV5" s="6" t="str">
        <f aca="false">IF(OR(A5="",B5="",C5="",D5=""),"Missing required fields",IF(NOT(AND(ISNUMBER(M5),ISNUMBER(N5))),"Missing coordinates","Complete"))</f>
        <v>Complete</v>
      </c>
      <c r="AW5" s="6" t="str">
        <f aca="false">IF(AND(ISNUMBER(M5),ISNUMBER(N5)),"Ready","Coordinates required")</f>
        <v>Ready</v>
      </c>
      <c r="AX5" s="10" t="str">
        <f aca="false">IF(OR(AT5=TRUE(),AT5="TRUE"),"Demo record",IF(A5="","Missing ID",IF(B5="","Missing name",IF(NOT(AND(ISNUMBER(M5),ISNUMBER(N5))),"Coordinates required","Ready for publication"))))</f>
        <v>Ready for publication</v>
      </c>
    </row>
    <row r="6" customFormat="false" ht="60" hidden="false" customHeight="true" outlineLevel="0" collapsed="false">
      <c r="A6" s="6" t="s">
        <v>83</v>
      </c>
      <c r="B6" s="7" t="s">
        <v>84</v>
      </c>
      <c r="C6" s="7" t="s">
        <v>52</v>
      </c>
      <c r="D6" s="7" t="s">
        <v>85</v>
      </c>
      <c r="E6" s="8" t="s">
        <v>86</v>
      </c>
      <c r="F6" s="6" t="str">
        <f aca="false">IF(C6="Singapore",IF(LEN(TEXT(E6,"000000"))=6,LEFT(TEXT(E6,"000000"),2),""),"")</f>
        <v>67</v>
      </c>
      <c r="G6" s="8"/>
      <c r="H6" s="6" t="s">
        <v>87</v>
      </c>
      <c r="I6" s="6" t="s">
        <v>88</v>
      </c>
      <c r="J6" s="6" t="s">
        <v>89</v>
      </c>
      <c r="K6" s="8" t="s">
        <v>90</v>
      </c>
      <c r="L6" s="8" t="s">
        <v>59</v>
      </c>
      <c r="M6" s="8" t="n">
        <v>1.387341</v>
      </c>
      <c r="N6" s="8" t="n">
        <v>103.760957</v>
      </c>
      <c r="O6" s="8" t="s">
        <v>60</v>
      </c>
      <c r="P6" s="8" t="s">
        <v>73</v>
      </c>
      <c r="Q6" s="8"/>
      <c r="R6" s="6" t="s">
        <v>62</v>
      </c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 t="s">
        <v>63</v>
      </c>
      <c r="AI6" s="6" t="s">
        <v>63</v>
      </c>
      <c r="AJ6" s="8"/>
      <c r="AK6" s="8" t="s">
        <v>91</v>
      </c>
      <c r="AL6" s="8"/>
      <c r="AM6" s="9" t="s">
        <v>65</v>
      </c>
      <c r="AN6" s="8"/>
      <c r="AO6" s="8"/>
      <c r="AP6" s="8"/>
      <c r="AQ6" s="8"/>
      <c r="AR6" s="8"/>
      <c r="AS6" s="8"/>
      <c r="AT6" s="8" t="s">
        <v>66</v>
      </c>
      <c r="AU6" s="6" t="str">
        <f aca="false">IF(OR(AT6=TRUE(),AT6="TRUE"),"This sample listing is provided solely to demonstrate the directory interface. It does not represent a live declaration, verification, endorsement or participating establishment.","")</f>
        <v/>
      </c>
      <c r="AV6" s="6" t="str">
        <f aca="false">IF(OR(A6="",B6="",C6="",D6=""),"Missing required fields",IF(NOT(AND(ISNUMBER(M6),ISNUMBER(N6))),"Missing coordinates","Complete"))</f>
        <v>Complete</v>
      </c>
      <c r="AW6" s="6" t="str">
        <f aca="false">IF(AND(ISNUMBER(M6),ISNUMBER(N6)),"Ready","Coordinates required")</f>
        <v>Ready</v>
      </c>
      <c r="AX6" s="10" t="str">
        <f aca="false">IF(OR(AT6=TRUE(),AT6="TRUE"),"Demo record",IF(A6="","Missing ID",IF(B6="","Missing name",IF(NOT(AND(ISNUMBER(M6),ISNUMBER(N6))),"Coordinates required","Ready for publication"))))</f>
        <v>Ready for publication</v>
      </c>
    </row>
    <row r="7" customFormat="false" ht="60" hidden="false" customHeight="true" outlineLevel="0" collapsed="false">
      <c r="A7" s="6" t="s">
        <v>92</v>
      </c>
      <c r="B7" s="7" t="s">
        <v>93</v>
      </c>
      <c r="C7" s="7" t="s">
        <v>52</v>
      </c>
      <c r="D7" s="7" t="s">
        <v>94</v>
      </c>
      <c r="E7" s="8" t="s">
        <v>95</v>
      </c>
      <c r="F7" s="6" t="str">
        <f aca="false">IF(C7="Singapore",IF(LEN(TEXT(E7,"000000"))=6,LEFT(TEXT(E7,"000000"),2),""),"")</f>
        <v>33</v>
      </c>
      <c r="G7" s="8"/>
      <c r="H7" s="6" t="s">
        <v>55</v>
      </c>
      <c r="I7" s="6" t="s">
        <v>56</v>
      </c>
      <c r="J7" s="6" t="s">
        <v>57</v>
      </c>
      <c r="K7" s="8" t="s">
        <v>96</v>
      </c>
      <c r="L7" s="8" t="s">
        <v>59</v>
      </c>
      <c r="M7" s="8" t="n">
        <v>1.311222</v>
      </c>
      <c r="N7" s="8" t="n">
        <v>103.862138</v>
      </c>
      <c r="O7" s="8" t="s">
        <v>60</v>
      </c>
      <c r="P7" s="8" t="s">
        <v>73</v>
      </c>
      <c r="Q7" s="8"/>
      <c r="R7" s="6" t="s">
        <v>62</v>
      </c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 t="s">
        <v>63</v>
      </c>
      <c r="AI7" s="6" t="s">
        <v>63</v>
      </c>
      <c r="AJ7" s="8"/>
      <c r="AK7" s="8" t="s">
        <v>97</v>
      </c>
      <c r="AL7" s="8"/>
      <c r="AM7" s="9" t="s">
        <v>65</v>
      </c>
      <c r="AN7" s="8"/>
      <c r="AO7" s="8"/>
      <c r="AP7" s="8"/>
      <c r="AQ7" s="8"/>
      <c r="AR7" s="8"/>
      <c r="AS7" s="8"/>
      <c r="AT7" s="8" t="s">
        <v>66</v>
      </c>
      <c r="AU7" s="6" t="str">
        <f aca="false">IF(OR(AT7=TRUE(),AT7="TRUE"),"This sample listing is provided solely to demonstrate the directory interface. It does not represent a live declaration, verification, endorsement or participating establishment.","")</f>
        <v/>
      </c>
      <c r="AV7" s="6" t="str">
        <f aca="false">IF(OR(A7="",B7="",C7="",D7=""),"Missing required fields",IF(NOT(AND(ISNUMBER(M7),ISNUMBER(N7))),"Missing coordinates","Complete"))</f>
        <v>Complete</v>
      </c>
      <c r="AW7" s="6" t="str">
        <f aca="false">IF(AND(ISNUMBER(M7),ISNUMBER(N7)),"Ready","Coordinates required")</f>
        <v>Ready</v>
      </c>
      <c r="AX7" s="10" t="str">
        <f aca="false">IF(OR(AT7=TRUE(),AT7="TRUE"),"Demo record",IF(A7="","Missing ID",IF(B7="","Missing name",IF(NOT(AND(ISNUMBER(M7),ISNUMBER(N7))),"Coordinates required","Ready for publication"))))</f>
        <v>Ready for publication</v>
      </c>
    </row>
    <row r="8" customFormat="false" ht="60" hidden="false" customHeight="true" outlineLevel="0" collapsed="false">
      <c r="A8" s="6" t="s">
        <v>98</v>
      </c>
      <c r="B8" s="7" t="s">
        <v>99</v>
      </c>
      <c r="C8" s="7" t="s">
        <v>52</v>
      </c>
      <c r="D8" s="7" t="s">
        <v>100</v>
      </c>
      <c r="E8" s="8" t="s">
        <v>101</v>
      </c>
      <c r="F8" s="6" t="str">
        <f aca="false">IF(C8="Singapore",IF(LEN(TEXT(E8,"000000"))=6,LEFT(TEXT(E8,"000000"),2),""),"")</f>
        <v>32</v>
      </c>
      <c r="G8" s="8"/>
      <c r="H8" s="6" t="s">
        <v>55</v>
      </c>
      <c r="I8" s="6" t="s">
        <v>56</v>
      </c>
      <c r="J8" s="6" t="s">
        <v>57</v>
      </c>
      <c r="K8" s="8" t="s">
        <v>102</v>
      </c>
      <c r="L8" s="8" t="s">
        <v>59</v>
      </c>
      <c r="M8" s="8" t="n">
        <v>1.321534</v>
      </c>
      <c r="N8" s="8" t="n">
        <v>103.853056</v>
      </c>
      <c r="O8" s="8" t="s">
        <v>60</v>
      </c>
      <c r="P8" s="8" t="s">
        <v>73</v>
      </c>
      <c r="Q8" s="8"/>
      <c r="R8" s="6" t="s">
        <v>62</v>
      </c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 t="s">
        <v>63</v>
      </c>
      <c r="AI8" s="6" t="s">
        <v>63</v>
      </c>
      <c r="AJ8" s="8"/>
      <c r="AK8" s="8" t="s">
        <v>103</v>
      </c>
      <c r="AL8" s="8"/>
      <c r="AM8" s="9" t="s">
        <v>65</v>
      </c>
      <c r="AN8" s="8"/>
      <c r="AO8" s="8"/>
      <c r="AP8" s="8"/>
      <c r="AQ8" s="8"/>
      <c r="AR8" s="8"/>
      <c r="AS8" s="8"/>
      <c r="AT8" s="8" t="s">
        <v>66</v>
      </c>
      <c r="AU8" s="6" t="str">
        <f aca="false">IF(OR(AT8=TRUE(),AT8="TRUE"),"This sample listing is provided solely to demonstrate the directory interface. It does not represent a live declaration, verification, endorsement or participating establishment.","")</f>
        <v/>
      </c>
      <c r="AV8" s="6" t="str">
        <f aca="false">IF(OR(A8="",B8="",C8="",D8=""),"Missing required fields",IF(NOT(AND(ISNUMBER(M8),ISNUMBER(N8))),"Missing coordinates","Complete"))</f>
        <v>Complete</v>
      </c>
      <c r="AW8" s="6" t="str">
        <f aca="false">IF(AND(ISNUMBER(M8),ISNUMBER(N8)),"Ready","Coordinates required")</f>
        <v>Ready</v>
      </c>
      <c r="AX8" s="10" t="str">
        <f aca="false">IF(OR(AT8=TRUE(),AT8="TRUE"),"Demo record",IF(A8="","Missing ID",IF(B8="","Missing name",IF(NOT(AND(ISNUMBER(M8),ISNUMBER(N8))),"Coordinates required","Ready for publication"))))</f>
        <v>Ready for publication</v>
      </c>
    </row>
    <row r="9" customFormat="false" ht="60" hidden="false" customHeight="true" outlineLevel="0" collapsed="false">
      <c r="A9" s="6" t="s">
        <v>104</v>
      </c>
      <c r="B9" s="7" t="s">
        <v>105</v>
      </c>
      <c r="C9" s="7" t="s">
        <v>52</v>
      </c>
      <c r="D9" s="7" t="s">
        <v>106</v>
      </c>
      <c r="E9" s="8" t="s">
        <v>107</v>
      </c>
      <c r="F9" s="6" t="str">
        <f aca="false">IF(C9="Singapore",IF(LEN(TEXT(E9,"000000"))=6,LEFT(TEXT(E9,"000000"),2),""),"")</f>
        <v>28</v>
      </c>
      <c r="G9" s="8"/>
      <c r="H9" s="6" t="s">
        <v>108</v>
      </c>
      <c r="I9" s="6" t="s">
        <v>109</v>
      </c>
      <c r="J9" s="6" t="s">
        <v>110</v>
      </c>
      <c r="K9" s="8" t="s">
        <v>111</v>
      </c>
      <c r="L9" s="8" t="s">
        <v>112</v>
      </c>
      <c r="M9" s="8" t="n">
        <v>1.324156</v>
      </c>
      <c r="N9" s="8" t="n">
        <v>103.814148</v>
      </c>
      <c r="O9" s="8" t="s">
        <v>60</v>
      </c>
      <c r="P9" s="8" t="s">
        <v>113</v>
      </c>
      <c r="Q9" s="8"/>
      <c r="R9" s="6" t="s">
        <v>62</v>
      </c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 t="s">
        <v>63</v>
      </c>
      <c r="AI9" s="6" t="s">
        <v>63</v>
      </c>
      <c r="AJ9" s="8"/>
      <c r="AK9" s="8" t="s">
        <v>114</v>
      </c>
      <c r="AL9" s="8"/>
      <c r="AM9" s="9" t="n">
        <v>46311</v>
      </c>
      <c r="AN9" s="8"/>
      <c r="AO9" s="8"/>
      <c r="AP9" s="8"/>
      <c r="AQ9" s="8"/>
      <c r="AR9" s="8"/>
      <c r="AS9" s="8"/>
      <c r="AT9" s="8" t="s">
        <v>66</v>
      </c>
      <c r="AU9" s="6" t="str">
        <f aca="false">IF(OR(AT9=TRUE(),AT9="TRUE"),"This sample listing is provided solely to demonstrate the directory interface. It does not represent a live declaration, verification, endorsement or participating establishment.","")</f>
        <v/>
      </c>
      <c r="AV9" s="6" t="str">
        <f aca="false">IF(OR(A9="",B9="",C9="",D9=""),"Missing required fields",IF(NOT(AND(ISNUMBER(M9),ISNUMBER(N9))),"Missing coordinates","Complete"))</f>
        <v>Complete</v>
      </c>
      <c r="AW9" s="6" t="str">
        <f aca="false">IF(AND(ISNUMBER(M9),ISNUMBER(N9)),"Ready","Coordinates required")</f>
        <v>Ready</v>
      </c>
      <c r="AX9" s="10" t="str">
        <f aca="false">IF(OR(AT9=TRUE(),AT9="TRUE"),"Demo record",IF(A9="","Missing ID",IF(B9="","Missing name",IF(NOT(AND(ISNUMBER(M9),ISNUMBER(N9))),"Coordinates required","Ready for publication"))))</f>
        <v>Ready for publication</v>
      </c>
    </row>
    <row r="10" customFormat="false" ht="14.25" hidden="false" customHeight="true" outlineLevel="0" collapsed="false">
      <c r="A10" s="1" t="s">
        <v>115</v>
      </c>
      <c r="B10" s="1" t="s">
        <v>116</v>
      </c>
      <c r="C10" s="11" t="s">
        <v>52</v>
      </c>
      <c r="D10" s="1" t="s">
        <v>117</v>
      </c>
      <c r="E10" s="1" t="s">
        <v>118</v>
      </c>
      <c r="F10" s="1" t="str">
        <f aca="false">IF(C10="Singapore",IF(LEN(TEXT(E10,"000000"))=6,LEFT(TEXT(E10,"000000"),2),""),"")</f>
        <v>33</v>
      </c>
      <c r="H10" s="1" t="s">
        <v>55</v>
      </c>
      <c r="I10" s="1" t="s">
        <v>56</v>
      </c>
      <c r="J10" s="1" t="s">
        <v>57</v>
      </c>
      <c r="K10" s="11" t="s">
        <v>119</v>
      </c>
      <c r="L10" s="11" t="s">
        <v>59</v>
      </c>
      <c r="M10" s="1" t="n">
        <v>1.315646</v>
      </c>
      <c r="N10" s="1" t="n">
        <v>103.859319</v>
      </c>
      <c r="O10" s="11" t="s">
        <v>60</v>
      </c>
      <c r="P10" s="1" t="s">
        <v>73</v>
      </c>
      <c r="R10" s="1" t="s">
        <v>62</v>
      </c>
      <c r="AH10" s="1" t="s">
        <v>63</v>
      </c>
      <c r="AI10" s="1" t="s">
        <v>63</v>
      </c>
      <c r="AK10" s="1" t="s">
        <v>120</v>
      </c>
      <c r="AM10" s="12" t="s">
        <v>65</v>
      </c>
      <c r="AT10" s="1" t="s">
        <v>66</v>
      </c>
      <c r="AU10" s="1" t="str">
        <f aca="false">IF(OR(AT10=TRUE(),AT10="TRUE"),"This sample listing is provided solely to demonstrate the directory interface. It does not represent a live declaration, verification, endorsement or participating establishment.","")</f>
        <v/>
      </c>
      <c r="AV10" s="1" t="str">
        <f aca="false">IF(OR(A10="",B10="",C10="",D10=""),"Missing required fields",IF(NOT(AND(ISNUMBER(M10),ISNUMBER(N10))),"Missing coordinates","Complete"))</f>
        <v>Complete</v>
      </c>
      <c r="AW10" s="1" t="str">
        <f aca="false">IF(AND(ISNUMBER(M10),ISNUMBER(N10)),"Ready","Coordinates required")</f>
        <v>Ready</v>
      </c>
      <c r="AX10" s="1" t="str">
        <f aca="false">IF(OR(AT10=TRUE(),AT10="TRUE"),"Demo record",IF(A10="","Missing ID",IF(B10="","Missing name",IF(NOT(AND(ISNUMBER(M10),ISNUMBER(N10))),"Coordinates required","Ready for publication"))))</f>
        <v>Ready for publication</v>
      </c>
    </row>
    <row r="11" customFormat="false" ht="14.25" hidden="false" customHeight="true" outlineLevel="0" collapsed="false">
      <c r="A11" s="1" t="s">
        <v>121</v>
      </c>
      <c r="B11" s="1" t="s">
        <v>122</v>
      </c>
      <c r="C11" s="11" t="s">
        <v>52</v>
      </c>
      <c r="D11" s="1" t="s">
        <v>77</v>
      </c>
      <c r="E11" s="1" t="s">
        <v>78</v>
      </c>
      <c r="F11" s="1" t="str">
        <f aca="false">IF(C11="Singapore",IF(LEN(TEXT(E11,"000000"))=6,LEFT(TEXT(E11,"000000"),2),""),"")</f>
        <v>51</v>
      </c>
      <c r="H11" s="1" t="s">
        <v>70</v>
      </c>
      <c r="I11" s="1" t="s">
        <v>71</v>
      </c>
      <c r="J11" s="1" t="s">
        <v>72</v>
      </c>
      <c r="K11" s="11" t="s">
        <v>123</v>
      </c>
      <c r="L11" s="11" t="s">
        <v>59</v>
      </c>
      <c r="M11" s="1" t="n">
        <v>1.373539</v>
      </c>
      <c r="N11" s="1" t="n">
        <v>103.948516</v>
      </c>
      <c r="O11" s="11" t="s">
        <v>60</v>
      </c>
      <c r="P11" s="1" t="s">
        <v>73</v>
      </c>
      <c r="R11" s="1" t="s">
        <v>62</v>
      </c>
      <c r="AH11" s="1" t="s">
        <v>63</v>
      </c>
      <c r="AI11" s="1" t="s">
        <v>63</v>
      </c>
      <c r="AK11" s="1" t="s">
        <v>79</v>
      </c>
      <c r="AM11" s="12" t="n">
        <v>46311</v>
      </c>
      <c r="AN11" s="1" t="s">
        <v>124</v>
      </c>
      <c r="AT11" s="1" t="s">
        <v>66</v>
      </c>
      <c r="AU11" s="1" t="str">
        <f aca="false">IF(OR(AT11=TRUE(),AT11="TRUE"),"This sample listing is provided solely to demonstrate the directory interface. It does not represent a live declaration, verification, endorsement or participating establishment.","")</f>
        <v/>
      </c>
      <c r="AV11" s="1" t="str">
        <f aca="false">IF(OR(A11="",B11="",C11="",D11=""),"Missing required fields",IF(NOT(AND(ISNUMBER(M11),ISNUMBER(N11))),"Missing coordinates","Complete"))</f>
        <v>Complete</v>
      </c>
      <c r="AW11" s="1" t="str">
        <f aca="false">IF(AND(ISNUMBER(M11),ISNUMBER(N11)),"Ready","Coordinates required")</f>
        <v>Ready</v>
      </c>
      <c r="AX11" s="1" t="str">
        <f aca="false">IF(OR(AT11=TRUE(),AT11="TRUE"),"Demo record",IF(A11="","Missing ID",IF(B11="","Missing name",IF(NOT(AND(ISNUMBER(M11),ISNUMBER(N11))),"Coordinates required","Ready for publication"))))</f>
        <v>Ready for publication</v>
      </c>
    </row>
    <row r="12" customFormat="false" ht="14.25" hidden="false" customHeight="true" outlineLevel="0" collapsed="false">
      <c r="A12" s="1" t="s">
        <v>125</v>
      </c>
      <c r="B12" s="1" t="s">
        <v>126</v>
      </c>
      <c r="C12" s="11" t="s">
        <v>52</v>
      </c>
      <c r="D12" s="1" t="s">
        <v>127</v>
      </c>
      <c r="E12" s="1" t="s">
        <v>128</v>
      </c>
      <c r="F12" s="1" t="str">
        <f aca="false">IF(C12="Singapore",IF(LEN(TEXT(E12,"000000"))=6,LEFT(TEXT(E12,"000000"),2),""),"")</f>
        <v>52</v>
      </c>
      <c r="H12" s="1" t="s">
        <v>70</v>
      </c>
      <c r="I12" s="1" t="s">
        <v>71</v>
      </c>
      <c r="J12" s="1" t="s">
        <v>72</v>
      </c>
      <c r="K12" s="11" t="s">
        <v>129</v>
      </c>
      <c r="L12" s="11" t="s">
        <v>59</v>
      </c>
      <c r="M12" s="1" t="n">
        <v>1.353568</v>
      </c>
      <c r="N12" s="1" t="n">
        <v>103.953993</v>
      </c>
      <c r="O12" s="11" t="s">
        <v>60</v>
      </c>
      <c r="P12" s="1" t="s">
        <v>73</v>
      </c>
      <c r="R12" s="1" t="s">
        <v>62</v>
      </c>
      <c r="AH12" s="1" t="s">
        <v>63</v>
      </c>
      <c r="AI12" s="1" t="s">
        <v>63</v>
      </c>
      <c r="AK12" s="1" t="s">
        <v>130</v>
      </c>
      <c r="AM12" s="12" t="n">
        <v>46311</v>
      </c>
      <c r="AT12" s="1" t="s">
        <v>66</v>
      </c>
      <c r="AU12" s="1" t="str">
        <f aca="false">IF(OR(AT12=TRUE(),AT12="TRUE"),"This sample listing is provided solely to demonstrate the directory interface. It does not represent a live declaration, verification, endorsement or participating establishment.","")</f>
        <v/>
      </c>
      <c r="AV12" s="1" t="str">
        <f aca="false">IF(OR(A12="",B12="",C12="",D12=""),"Missing required fields",IF(NOT(AND(ISNUMBER(M12),ISNUMBER(N12))),"Missing coordinates","Complete"))</f>
        <v>Complete</v>
      </c>
      <c r="AW12" s="1" t="str">
        <f aca="false">IF(AND(ISNUMBER(M12),ISNUMBER(N12)),"Ready","Coordinates required")</f>
        <v>Ready</v>
      </c>
      <c r="AX12" s="1" t="str">
        <f aca="false">IF(OR(AT12=TRUE(),AT12="TRUE"),"Demo record",IF(A12="","Missing ID",IF(B12="","Missing name",IF(NOT(AND(ISNUMBER(M12),ISNUMBER(N12))),"Coordinates required","Ready for publication"))))</f>
        <v>Ready for publication</v>
      </c>
    </row>
    <row r="13" customFormat="false" ht="14.25" hidden="false" customHeight="true" outlineLevel="0" collapsed="false">
      <c r="A13" s="1" t="s">
        <v>131</v>
      </c>
      <c r="B13" s="1" t="s">
        <v>132</v>
      </c>
      <c r="C13" s="11" t="s">
        <v>52</v>
      </c>
      <c r="D13" s="1" t="s">
        <v>133</v>
      </c>
      <c r="F13" s="1" t="str">
        <f aca="false">IF(C13="Singapore",IF(LEN(TEXT(E13,"000000"))=6,LEFT(TEXT(E13,"000000"),2),""),"")</f>
        <v>00</v>
      </c>
      <c r="K13" s="11" t="s">
        <v>134</v>
      </c>
      <c r="L13" s="11" t="s">
        <v>59</v>
      </c>
      <c r="M13" s="1" t="n">
        <v>1.40419</v>
      </c>
      <c r="N13" s="1" t="n">
        <v>103.793601</v>
      </c>
      <c r="O13" s="11" t="s">
        <v>60</v>
      </c>
      <c r="P13" s="1" t="s">
        <v>73</v>
      </c>
      <c r="R13" s="1" t="s">
        <v>62</v>
      </c>
      <c r="AH13" s="1" t="s">
        <v>63</v>
      </c>
      <c r="AI13" s="1" t="s">
        <v>63</v>
      </c>
      <c r="AK13" s="1" t="s">
        <v>135</v>
      </c>
      <c r="AM13" s="12" t="n">
        <v>46311</v>
      </c>
      <c r="AT13" s="1" t="s">
        <v>66</v>
      </c>
      <c r="AU13" s="1" t="str">
        <f aca="false">IF(OR(AT13=TRUE(),AT13="TRUE"),"This sample listing is provided solely to demonstrate the directory interface. It does not represent a live declaration, verification, endorsement or participating establishment.","")</f>
        <v/>
      </c>
      <c r="AV13" s="1" t="str">
        <f aca="false">IF(OR(A13="",B13="",C13="",D13=""),"Missing required fields",IF(NOT(AND(ISNUMBER(M13),ISNUMBER(N13))),"Missing coordinates","Complete"))</f>
        <v>Complete</v>
      </c>
      <c r="AW13" s="1" t="str">
        <f aca="false">IF(AND(ISNUMBER(M13),ISNUMBER(N13)),"Ready","Coordinates required")</f>
        <v>Ready</v>
      </c>
      <c r="AX13" s="1" t="str">
        <f aca="false">IF(OR(AT13=TRUE(),AT13="TRUE"),"Demo record",IF(A13="","Missing ID",IF(B13="","Missing name",IF(NOT(AND(ISNUMBER(M13),ISNUMBER(N13))),"Coordinates required","Ready for publication"))))</f>
        <v>Ready for publication</v>
      </c>
    </row>
    <row r="14" customFormat="false" ht="14.25" hidden="false" customHeight="true" outlineLevel="0" collapsed="false">
      <c r="A14" s="1" t="s">
        <v>136</v>
      </c>
      <c r="B14" s="1" t="s">
        <v>137</v>
      </c>
      <c r="C14" s="11" t="s">
        <v>52</v>
      </c>
      <c r="D14" s="1" t="s">
        <v>138</v>
      </c>
      <c r="E14" s="1" t="s">
        <v>139</v>
      </c>
      <c r="F14" s="1" t="str">
        <f aca="false">IF(C14="Singapore",IF(LEN(TEXT(E14,"000000"))=6,LEFT(TEXT(E14,"000000"),2),""),"")</f>
        <v>66</v>
      </c>
      <c r="H14" s="1" t="s">
        <v>140</v>
      </c>
      <c r="I14" s="1" t="s">
        <v>88</v>
      </c>
      <c r="J14" s="1" t="s">
        <v>89</v>
      </c>
      <c r="K14" s="11" t="s">
        <v>141</v>
      </c>
      <c r="L14" s="11" t="s">
        <v>59</v>
      </c>
      <c r="M14" s="1" t="n">
        <v>1.357694</v>
      </c>
      <c r="N14" s="1" t="n">
        <v>103.760558</v>
      </c>
      <c r="O14" s="11" t="s">
        <v>60</v>
      </c>
      <c r="P14" s="1" t="s">
        <v>73</v>
      </c>
      <c r="R14" s="1" t="s">
        <v>62</v>
      </c>
      <c r="AH14" s="1" t="s">
        <v>63</v>
      </c>
      <c r="AI14" s="1" t="s">
        <v>63</v>
      </c>
      <c r="AK14" s="1" t="s">
        <v>142</v>
      </c>
      <c r="AM14" s="12" t="n">
        <v>46311</v>
      </c>
      <c r="AT14" s="1" t="s">
        <v>66</v>
      </c>
      <c r="AU14" s="1" t="str">
        <f aca="false">IF(OR(AT14=TRUE(),AT14="TRUE"),"This sample listing is provided solely to demonstrate the directory interface. It does not represent a live declaration, verification, endorsement or participating establishment.","")</f>
        <v/>
      </c>
      <c r="AV14" s="1" t="str">
        <f aca="false">IF(OR(A14="",B14="",C14="",D14=""),"Missing required fields",IF(NOT(AND(ISNUMBER(M14),ISNUMBER(N14))),"Missing coordinates","Complete"))</f>
        <v>Complete</v>
      </c>
      <c r="AW14" s="1" t="str">
        <f aca="false">IF(AND(ISNUMBER(M14),ISNUMBER(N14)),"Ready","Coordinates required")</f>
        <v>Ready</v>
      </c>
      <c r="AX14" s="1" t="str">
        <f aca="false">IF(OR(AT14=TRUE(),AT14="TRUE"),"Demo record",IF(A14="","Missing ID",IF(B14="","Missing name",IF(NOT(AND(ISNUMBER(M14),ISNUMBER(N14))),"Coordinates required","Ready for publication"))))</f>
        <v>Ready for publication</v>
      </c>
    </row>
    <row r="15" customFormat="false" ht="14.25" hidden="false" customHeight="true" outlineLevel="0" collapsed="false">
      <c r="A15" s="1" t="s">
        <v>143</v>
      </c>
      <c r="B15" s="1" t="s">
        <v>144</v>
      </c>
      <c r="C15" s="11" t="s">
        <v>52</v>
      </c>
      <c r="D15" s="1" t="s">
        <v>145</v>
      </c>
      <c r="F15" s="1" t="str">
        <f aca="false">IF(C15="Singapore",IF(LEN(TEXT(E15,"000000"))=6,LEFT(TEXT(E15,"000000"),2),""),"")</f>
        <v>00</v>
      </c>
      <c r="K15" s="11" t="s">
        <v>102</v>
      </c>
      <c r="L15" s="11" t="s">
        <v>59</v>
      </c>
      <c r="M15" s="1" t="n">
        <v>1.304744</v>
      </c>
      <c r="N15" s="1" t="n">
        <v>103.853504</v>
      </c>
      <c r="O15" s="11" t="s">
        <v>60</v>
      </c>
      <c r="P15" s="1" t="s">
        <v>73</v>
      </c>
      <c r="R15" s="1" t="s">
        <v>62</v>
      </c>
      <c r="AH15" s="1" t="s">
        <v>63</v>
      </c>
      <c r="AI15" s="1" t="s">
        <v>63</v>
      </c>
      <c r="AK15" s="1" t="s">
        <v>146</v>
      </c>
      <c r="AM15" s="12" t="n">
        <v>46311</v>
      </c>
      <c r="AT15" s="1" t="s">
        <v>66</v>
      </c>
      <c r="AU15" s="1" t="str">
        <f aca="false">IF(OR(AT15=TRUE(),AT15="TRUE"),"This sample listing is provided solely to demonstrate the directory interface. It does not represent a live declaration, verification, endorsement or participating establishment.","")</f>
        <v/>
      </c>
      <c r="AV15" s="1" t="str">
        <f aca="false">IF(OR(A15="",B15="",C15="",D15=""),"Missing required fields",IF(NOT(AND(ISNUMBER(M15),ISNUMBER(N15))),"Missing coordinates","Complete"))</f>
        <v>Complete</v>
      </c>
      <c r="AW15" s="1" t="str">
        <f aca="false">IF(AND(ISNUMBER(M15),ISNUMBER(N15)),"Ready","Coordinates required")</f>
        <v>Ready</v>
      </c>
      <c r="AX15" s="1" t="str">
        <f aca="false">IF(OR(AT15=TRUE(),AT15="TRUE"),"Demo record",IF(A15="","Missing ID",IF(B15="","Missing name",IF(NOT(AND(ISNUMBER(M15),ISNUMBER(N15))),"Coordinates required","Ready for publication"))))</f>
        <v>Ready for publication</v>
      </c>
    </row>
    <row r="16" customFormat="false" ht="14.25" hidden="false" customHeight="true" outlineLevel="0" collapsed="false">
      <c r="A16" s="1" t="s">
        <v>147</v>
      </c>
      <c r="B16" s="1" t="s">
        <v>148</v>
      </c>
      <c r="C16" s="11" t="s">
        <v>52</v>
      </c>
      <c r="D16" s="1" t="s">
        <v>149</v>
      </c>
      <c r="E16" s="1" t="s">
        <v>150</v>
      </c>
      <c r="F16" s="1" t="str">
        <f aca="false">IF(C16="Singapore",IF(LEN(TEXT(E16,"000000"))=6,LEFT(TEXT(E16,"000000"),2),""),"")</f>
        <v>32</v>
      </c>
      <c r="H16" s="1" t="s">
        <v>55</v>
      </c>
      <c r="I16" s="1" t="s">
        <v>56</v>
      </c>
      <c r="J16" s="1" t="s">
        <v>57</v>
      </c>
      <c r="K16" s="11" t="s">
        <v>102</v>
      </c>
      <c r="L16" s="11" t="s">
        <v>59</v>
      </c>
      <c r="M16" s="1" t="n">
        <v>1.322722</v>
      </c>
      <c r="N16" s="1" t="n">
        <v>103.863877</v>
      </c>
      <c r="O16" s="11" t="s">
        <v>60</v>
      </c>
      <c r="P16" s="1" t="s">
        <v>73</v>
      </c>
      <c r="R16" s="1" t="s">
        <v>62</v>
      </c>
      <c r="AH16" s="1" t="s">
        <v>63</v>
      </c>
      <c r="AI16" s="1" t="s">
        <v>63</v>
      </c>
      <c r="AK16" s="1" t="s">
        <v>151</v>
      </c>
      <c r="AM16" s="12" t="s">
        <v>65</v>
      </c>
      <c r="AT16" s="1" t="s">
        <v>66</v>
      </c>
      <c r="AU16" s="1" t="str">
        <f aca="false">IF(OR(AT16=TRUE(),AT16="TRUE"),"This sample listing is provided solely to demonstrate the directory interface. It does not represent a live declaration, verification, endorsement or participating establishment.","")</f>
        <v/>
      </c>
      <c r="AV16" s="1" t="str">
        <f aca="false">IF(OR(A16="",B16="",C16="",D16=""),"Missing required fields",IF(NOT(AND(ISNUMBER(M16),ISNUMBER(N16))),"Missing coordinates","Complete"))</f>
        <v>Complete</v>
      </c>
      <c r="AW16" s="1" t="str">
        <f aca="false">IF(AND(ISNUMBER(M16),ISNUMBER(N16)),"Ready","Coordinates required")</f>
        <v>Ready</v>
      </c>
      <c r="AX16" s="1" t="str">
        <f aca="false">IF(OR(AT16=TRUE(),AT16="TRUE"),"Demo record",IF(A16="","Missing ID",IF(B16="","Missing name",IF(NOT(AND(ISNUMBER(M16),ISNUMBER(N16))),"Coordinates required","Ready for publication"))))</f>
        <v>Ready for publication</v>
      </c>
    </row>
    <row r="17" customFormat="false" ht="14.25" hidden="false" customHeight="true" outlineLevel="0" collapsed="false">
      <c r="A17" s="1" t="s">
        <v>152</v>
      </c>
      <c r="B17" s="1" t="s">
        <v>153</v>
      </c>
      <c r="C17" s="11" t="s">
        <v>52</v>
      </c>
      <c r="D17" s="1" t="s">
        <v>154</v>
      </c>
      <c r="E17" s="1" t="s">
        <v>155</v>
      </c>
      <c r="F17" s="1" t="str">
        <f aca="false">IF(C17="Singapore",IF(LEN(TEXT(E17,"000000"))=6,LEFT(TEXT(E17,"000000"),2),""),"")</f>
        <v>47</v>
      </c>
      <c r="H17" s="1" t="s">
        <v>156</v>
      </c>
      <c r="I17" s="1" t="s">
        <v>157</v>
      </c>
      <c r="J17" s="1" t="s">
        <v>158</v>
      </c>
      <c r="K17" s="11" t="s">
        <v>159</v>
      </c>
      <c r="L17" s="11" t="s">
        <v>59</v>
      </c>
      <c r="M17" s="1" t="n">
        <v>1.33295</v>
      </c>
      <c r="N17" s="1" t="n">
        <v>103.914784</v>
      </c>
      <c r="O17" s="11" t="s">
        <v>60</v>
      </c>
      <c r="P17" s="1" t="s">
        <v>73</v>
      </c>
      <c r="R17" s="1" t="s">
        <v>62</v>
      </c>
      <c r="AH17" s="1" t="s">
        <v>63</v>
      </c>
      <c r="AI17" s="1" t="s">
        <v>63</v>
      </c>
      <c r="AK17" s="1" t="s">
        <v>160</v>
      </c>
      <c r="AM17" s="12" t="n">
        <v>46311</v>
      </c>
      <c r="AT17" s="1" t="s">
        <v>66</v>
      </c>
      <c r="AU17" s="1" t="str">
        <f aca="false">IF(OR(AT17=TRUE(),AT17="TRUE"),"This sample listing is provided solely to demonstrate the directory interface. It does not represent a live declaration, verification, endorsement or participating establishment.","")</f>
        <v/>
      </c>
      <c r="AV17" s="1" t="str">
        <f aca="false">IF(OR(A17="",B17="",C17="",D17=""),"Missing required fields",IF(NOT(AND(ISNUMBER(M17),ISNUMBER(N17))),"Missing coordinates","Complete"))</f>
        <v>Complete</v>
      </c>
      <c r="AW17" s="1" t="str">
        <f aca="false">IF(AND(ISNUMBER(M17),ISNUMBER(N17)),"Ready","Coordinates required")</f>
        <v>Ready</v>
      </c>
      <c r="AX17" s="1" t="str">
        <f aca="false">IF(OR(AT17=TRUE(),AT17="TRUE"),"Demo record",IF(A17="","Missing ID",IF(B17="","Missing name",IF(NOT(AND(ISNUMBER(M17),ISNUMBER(N17))),"Coordinates required","Ready for publication"))))</f>
        <v>Ready for publication</v>
      </c>
    </row>
    <row r="18" customFormat="false" ht="14.25" hidden="false" customHeight="true" outlineLevel="0" collapsed="false">
      <c r="A18" s="1" t="s">
        <v>161</v>
      </c>
      <c r="B18" s="1" t="s">
        <v>153</v>
      </c>
      <c r="C18" s="11" t="s">
        <v>52</v>
      </c>
      <c r="D18" s="1" t="s">
        <v>162</v>
      </c>
      <c r="E18" s="1" t="s">
        <v>163</v>
      </c>
      <c r="F18" s="1" t="str">
        <f aca="false">IF(C18="Singapore",IF(LEN(TEXT(E18,"000000"))=6,LEFT(TEXT(E18,"000000"),2),""),"")</f>
        <v>50</v>
      </c>
      <c r="H18" s="1" t="s">
        <v>164</v>
      </c>
      <c r="I18" s="1" t="s">
        <v>165</v>
      </c>
      <c r="J18" s="1" t="s">
        <v>166</v>
      </c>
      <c r="K18" s="11" t="s">
        <v>167</v>
      </c>
      <c r="L18" s="11" t="s">
        <v>59</v>
      </c>
      <c r="M18" s="1" t="n">
        <v>1.388164</v>
      </c>
      <c r="N18" s="1" t="n">
        <v>103.987625</v>
      </c>
      <c r="O18" s="11" t="s">
        <v>60</v>
      </c>
      <c r="P18" s="1" t="s">
        <v>73</v>
      </c>
      <c r="R18" s="1" t="s">
        <v>62</v>
      </c>
      <c r="AH18" s="1" t="s">
        <v>63</v>
      </c>
      <c r="AI18" s="1" t="s">
        <v>63</v>
      </c>
      <c r="AK18" s="1" t="s">
        <v>168</v>
      </c>
      <c r="AM18" s="12" t="s">
        <v>65</v>
      </c>
      <c r="AT18" s="1" t="s">
        <v>66</v>
      </c>
      <c r="AU18" s="1" t="str">
        <f aca="false">IF(OR(AT18=TRUE(),AT18="TRUE"),"This sample listing is provided solely to demonstrate the directory interface. It does not represent a live declaration, verification, endorsement or participating establishment.","")</f>
        <v/>
      </c>
      <c r="AV18" s="1" t="str">
        <f aca="false">IF(OR(A18="",B18="",C18="",D18=""),"Missing required fields",IF(NOT(AND(ISNUMBER(M18),ISNUMBER(N18))),"Missing coordinates","Complete"))</f>
        <v>Complete</v>
      </c>
      <c r="AW18" s="1" t="str">
        <f aca="false">IF(AND(ISNUMBER(M18),ISNUMBER(N18)),"Ready","Coordinates required")</f>
        <v>Ready</v>
      </c>
      <c r="AX18" s="1" t="str">
        <f aca="false">IF(OR(AT18=TRUE(),AT18="TRUE"),"Demo record",IF(A18="","Missing ID",IF(B18="","Missing name",IF(NOT(AND(ISNUMBER(M18),ISNUMBER(N18))),"Coordinates required","Ready for publication"))))</f>
        <v>Ready for publication</v>
      </c>
    </row>
    <row r="19" customFormat="false" ht="14.25" hidden="false" customHeight="true" outlineLevel="0" collapsed="false">
      <c r="A19" s="1" t="s">
        <v>169</v>
      </c>
      <c r="B19" s="1" t="s">
        <v>170</v>
      </c>
      <c r="C19" s="11" t="s">
        <v>52</v>
      </c>
      <c r="D19" s="1" t="s">
        <v>171</v>
      </c>
      <c r="E19" s="1" t="s">
        <v>172</v>
      </c>
      <c r="F19" s="1" t="str">
        <f aca="false">IF(C19="Singapore",IF(LEN(TEXT(E19,"000000"))=6,LEFT(TEXT(E19,"000000"),2),""),"")</f>
        <v>59</v>
      </c>
      <c r="H19" s="1" t="s">
        <v>173</v>
      </c>
      <c r="I19" s="1" t="s">
        <v>174</v>
      </c>
      <c r="J19" s="1" t="s">
        <v>175</v>
      </c>
      <c r="K19" s="11"/>
      <c r="L19" s="11" t="s">
        <v>59</v>
      </c>
      <c r="M19" s="1" t="n">
        <v>1.342997</v>
      </c>
      <c r="N19" s="1" t="n">
        <v>103.7752</v>
      </c>
      <c r="O19" s="11" t="s">
        <v>60</v>
      </c>
      <c r="P19" s="1" t="s">
        <v>73</v>
      </c>
      <c r="R19" s="1" t="s">
        <v>62</v>
      </c>
      <c r="AH19" s="1" t="s">
        <v>63</v>
      </c>
      <c r="AI19" s="1" t="s">
        <v>63</v>
      </c>
      <c r="AK19" s="1" t="s">
        <v>176</v>
      </c>
      <c r="AM19" s="12" t="n">
        <v>46311</v>
      </c>
      <c r="AN19" s="1" t="s">
        <v>177</v>
      </c>
      <c r="AT19" s="1" t="s">
        <v>66</v>
      </c>
      <c r="AU19" s="1" t="str">
        <f aca="false">IF(OR(AT19=TRUE(),AT19="TRUE"),"This sample listing is provided solely to demonstrate the directory interface. It does not represent a live declaration, verification, endorsement or participating establishment.","")</f>
        <v/>
      </c>
      <c r="AV19" s="1" t="str">
        <f aca="false">IF(OR(A19="",B19="",C19="",D19=""),"Missing required fields",IF(NOT(AND(ISNUMBER(M19),ISNUMBER(N19))),"Missing coordinates","Complete"))</f>
        <v>Complete</v>
      </c>
      <c r="AW19" s="1" t="str">
        <f aca="false">IF(AND(ISNUMBER(M19),ISNUMBER(N19)),"Ready","Coordinates required")</f>
        <v>Ready</v>
      </c>
      <c r="AX19" s="1" t="str">
        <f aca="false">IF(OR(AT19=TRUE(),AT19="TRUE"),"Demo record",IF(A19="","Missing ID",IF(B19="","Missing name",IF(NOT(AND(ISNUMBER(M19),ISNUMBER(N19))),"Coordinates required","Ready for publication"))))</f>
        <v>Ready for publication</v>
      </c>
    </row>
    <row r="20" customFormat="false" ht="14.25" hidden="false" customHeight="true" outlineLevel="0" collapsed="false">
      <c r="A20" s="1" t="s">
        <v>178</v>
      </c>
      <c r="B20" s="1" t="s">
        <v>179</v>
      </c>
      <c r="C20" s="11" t="s">
        <v>52</v>
      </c>
      <c r="D20" s="1" t="s">
        <v>180</v>
      </c>
      <c r="F20" s="1" t="str">
        <f aca="false">IF(C20="Singapore",IF(LEN(TEXT(E20,"000000"))=6,LEFT(TEXT(E20,"000000"),2),""),"")</f>
        <v>00</v>
      </c>
      <c r="K20" s="11"/>
      <c r="L20" s="11" t="s">
        <v>59</v>
      </c>
      <c r="M20" s="1" t="n">
        <v>1.302464</v>
      </c>
      <c r="N20" s="1" t="n">
        <v>103.858615</v>
      </c>
      <c r="O20" s="11" t="s">
        <v>60</v>
      </c>
      <c r="P20" s="1" t="s">
        <v>73</v>
      </c>
      <c r="R20" s="1" t="s">
        <v>62</v>
      </c>
      <c r="AH20" s="1" t="s">
        <v>63</v>
      </c>
      <c r="AI20" s="1" t="s">
        <v>63</v>
      </c>
      <c r="AK20" s="1" t="s">
        <v>181</v>
      </c>
      <c r="AM20" s="12" t="n">
        <v>46311</v>
      </c>
      <c r="AT20" s="1" t="s">
        <v>66</v>
      </c>
      <c r="AU20" s="1" t="str">
        <f aca="false">IF(OR(AT20=TRUE(),AT20="TRUE"),"This sample listing is provided solely to demonstrate the directory interface. It does not represent a live declaration, verification, endorsement or participating establishment.","")</f>
        <v/>
      </c>
      <c r="AV20" s="1" t="str">
        <f aca="false">IF(OR(A20="",B20="",C20="",D20=""),"Missing required fields",IF(NOT(AND(ISNUMBER(M20),ISNUMBER(N20))),"Missing coordinates","Complete"))</f>
        <v>Complete</v>
      </c>
      <c r="AW20" s="1" t="str">
        <f aca="false">IF(AND(ISNUMBER(M20),ISNUMBER(N20)),"Ready","Coordinates required")</f>
        <v>Ready</v>
      </c>
      <c r="AX20" s="1" t="str">
        <f aca="false">IF(OR(AT20=TRUE(),AT20="TRUE"),"Demo record",IF(A20="","Missing ID",IF(B20="","Missing name",IF(NOT(AND(ISNUMBER(M20),ISNUMBER(N20))),"Coordinates required","Ready for publication"))))</f>
        <v>Ready for publication</v>
      </c>
    </row>
    <row r="21" customFormat="false" ht="14.25" hidden="false" customHeight="true" outlineLevel="0" collapsed="false">
      <c r="A21" s="1" t="s">
        <v>182</v>
      </c>
      <c r="B21" s="1" t="s">
        <v>183</v>
      </c>
      <c r="C21" s="11" t="s">
        <v>52</v>
      </c>
      <c r="D21" s="1" t="s">
        <v>184</v>
      </c>
      <c r="E21" s="1" t="s">
        <v>185</v>
      </c>
      <c r="F21" s="1" t="str">
        <f aca="false">IF(C21="Singapore",IF(LEN(TEXT(E21,"000000"))=6,LEFT(TEXT(E21,"000000"),2),""),"")</f>
        <v>36</v>
      </c>
      <c r="H21" s="1" t="s">
        <v>186</v>
      </c>
      <c r="I21" s="1" t="s">
        <v>187</v>
      </c>
      <c r="J21" s="1" t="s">
        <v>188</v>
      </c>
      <c r="K21" s="11" t="s">
        <v>102</v>
      </c>
      <c r="L21" s="11" t="s">
        <v>59</v>
      </c>
      <c r="M21" s="1" t="n">
        <v>1.332267</v>
      </c>
      <c r="N21" s="1" t="n">
        <v>103.883833</v>
      </c>
      <c r="O21" s="11" t="s">
        <v>60</v>
      </c>
      <c r="P21" s="1" t="s">
        <v>73</v>
      </c>
      <c r="R21" s="1" t="s">
        <v>62</v>
      </c>
      <c r="AH21" s="1" t="s">
        <v>63</v>
      </c>
      <c r="AI21" s="1" t="s">
        <v>63</v>
      </c>
      <c r="AK21" s="1" t="s">
        <v>189</v>
      </c>
      <c r="AM21" s="12" t="n">
        <v>46311</v>
      </c>
      <c r="AT21" s="1" t="s">
        <v>66</v>
      </c>
      <c r="AU21" s="1" t="str">
        <f aca="false">IF(OR(AT21=TRUE(),AT21="TRUE"),"This sample listing is provided solely to demonstrate the directory interface. It does not represent a live declaration, verification, endorsement or participating establishment.","")</f>
        <v/>
      </c>
      <c r="AV21" s="1" t="str">
        <f aca="false">IF(OR(A21="",B21="",C21="",D21=""),"Missing required fields",IF(NOT(AND(ISNUMBER(M21),ISNUMBER(N21))),"Missing coordinates","Complete"))</f>
        <v>Complete</v>
      </c>
      <c r="AW21" s="1" t="str">
        <f aca="false">IF(AND(ISNUMBER(M21),ISNUMBER(N21)),"Ready","Coordinates required")</f>
        <v>Ready</v>
      </c>
      <c r="AX21" s="1" t="str">
        <f aca="false">IF(OR(AT21=TRUE(),AT21="TRUE"),"Demo record",IF(A21="","Missing ID",IF(B21="","Missing name",IF(NOT(AND(ISNUMBER(M21),ISNUMBER(N21))),"Coordinates required","Ready for publication"))))</f>
        <v>Ready for publication</v>
      </c>
    </row>
    <row r="22" customFormat="false" ht="14.25" hidden="false" customHeight="true" outlineLevel="0" collapsed="false">
      <c r="A22" s="1" t="s">
        <v>190</v>
      </c>
      <c r="B22" s="1" t="s">
        <v>191</v>
      </c>
      <c r="C22" s="11" t="s">
        <v>52</v>
      </c>
      <c r="E22" s="1" t="s">
        <v>192</v>
      </c>
      <c r="F22" s="1" t="str">
        <f aca="false">IF(C22="Singapore",IF(LEN(TEXT(E22,"000000"))=6,LEFT(TEXT(E22,"000000"),2),""),"")</f>
        <v>03</v>
      </c>
      <c r="H22" s="1" t="s">
        <v>193</v>
      </c>
      <c r="I22" s="1" t="s">
        <v>194</v>
      </c>
      <c r="J22" s="1" t="s">
        <v>195</v>
      </c>
      <c r="K22" s="11" t="s">
        <v>196</v>
      </c>
      <c r="L22" s="11" t="s">
        <v>197</v>
      </c>
      <c r="M22" s="1" t="n">
        <v>1.289255</v>
      </c>
      <c r="N22" s="1" t="n">
        <v>103.856367</v>
      </c>
      <c r="O22" s="11" t="s">
        <v>60</v>
      </c>
      <c r="P22" s="1" t="s">
        <v>73</v>
      </c>
      <c r="R22" s="1" t="s">
        <v>62</v>
      </c>
      <c r="AH22" s="1" t="s">
        <v>63</v>
      </c>
      <c r="AI22" s="1" t="s">
        <v>63</v>
      </c>
      <c r="AK22" s="1" t="s">
        <v>198</v>
      </c>
      <c r="AM22" s="12" t="n">
        <v>46311</v>
      </c>
      <c r="AT22" s="1" t="s">
        <v>66</v>
      </c>
      <c r="AU22" s="1" t="str">
        <f aca="false">IF(OR(AT22=TRUE(),AT22="TRUE"),"This sample listing is provided solely to demonstrate the directory interface. It does not represent a live declaration, verification, endorsement or participating establishment.","")</f>
        <v/>
      </c>
      <c r="AV22" s="1" t="str">
        <f aca="false">IF(OR(A22="",B22="",C22="",D22=""),"Missing required fields",IF(NOT(AND(ISNUMBER(M22),ISNUMBER(N22))),"Missing coordinates","Complete"))</f>
        <v>Missing required fields</v>
      </c>
      <c r="AW22" s="1" t="str">
        <f aca="false">IF(AND(ISNUMBER(M22),ISNUMBER(N22)),"Ready","Coordinates required")</f>
        <v>Ready</v>
      </c>
      <c r="AX22" s="1" t="str">
        <f aca="false">IF(OR(AT22=TRUE(),AT22="TRUE"),"Demo record",IF(A22="","Missing ID",IF(B22="","Missing name",IF(NOT(AND(ISNUMBER(M22),ISNUMBER(N22))),"Coordinates required","Ready for publication"))))</f>
        <v>Ready for publication</v>
      </c>
    </row>
    <row r="23" customFormat="false" ht="14.25" hidden="false" customHeight="true" outlineLevel="0" collapsed="false">
      <c r="A23" s="1" t="s">
        <v>199</v>
      </c>
      <c r="B23" s="1" t="s">
        <v>200</v>
      </c>
      <c r="C23" s="11" t="s">
        <v>52</v>
      </c>
      <c r="D23" s="1" t="s">
        <v>201</v>
      </c>
      <c r="F23" s="1" t="str">
        <f aca="false">IF(C23="Singapore",IF(LEN(TEXT(E23,"000000"))=6,LEFT(TEXT(E23,"000000"),2),""),"")</f>
        <v>00</v>
      </c>
      <c r="K23" s="11"/>
      <c r="L23" s="11" t="s">
        <v>59</v>
      </c>
      <c r="M23" s="1" t="n">
        <v>1.33396</v>
      </c>
      <c r="N23" s="1" t="n">
        <v>103.747024</v>
      </c>
      <c r="O23" s="11" t="s">
        <v>60</v>
      </c>
      <c r="P23" s="1" t="s">
        <v>73</v>
      </c>
      <c r="R23" s="1" t="s">
        <v>62</v>
      </c>
      <c r="AH23" s="1" t="s">
        <v>63</v>
      </c>
      <c r="AI23" s="1" t="s">
        <v>63</v>
      </c>
      <c r="AK23" s="1" t="s">
        <v>202</v>
      </c>
      <c r="AM23" s="12" t="n">
        <v>46311</v>
      </c>
      <c r="AT23" s="1" t="s">
        <v>66</v>
      </c>
      <c r="AU23" s="1" t="str">
        <f aca="false">IF(OR(AT23=TRUE(),AT23="TRUE"),"This sample listing is provided solely to demonstrate the directory interface. It does not represent a live declaration, verification, endorsement or participating establishment.","")</f>
        <v/>
      </c>
      <c r="AV23" s="1" t="str">
        <f aca="false">IF(OR(A23="",B23="",C23="",D23=""),"Missing required fields",IF(NOT(AND(ISNUMBER(M23),ISNUMBER(N23))),"Missing coordinates","Complete"))</f>
        <v>Complete</v>
      </c>
      <c r="AW23" s="1" t="str">
        <f aca="false">IF(AND(ISNUMBER(M23),ISNUMBER(N23)),"Ready","Coordinates required")</f>
        <v>Ready</v>
      </c>
      <c r="AX23" s="1" t="str">
        <f aca="false">IF(OR(AT23=TRUE(),AT23="TRUE"),"Demo record",IF(A23="","Missing ID",IF(B23="","Missing name",IF(NOT(AND(ISNUMBER(M23),ISNUMBER(N23))),"Coordinates required","Ready for publication"))))</f>
        <v>Ready for publication</v>
      </c>
    </row>
    <row r="24" customFormat="false" ht="14.25" hidden="false" customHeight="true" outlineLevel="0" collapsed="false">
      <c r="A24" s="1" t="s">
        <v>203</v>
      </c>
      <c r="B24" s="1" t="s">
        <v>204</v>
      </c>
      <c r="C24" s="11" t="s">
        <v>52</v>
      </c>
      <c r="D24" s="1" t="s">
        <v>205</v>
      </c>
      <c r="E24" s="1" t="s">
        <v>206</v>
      </c>
      <c r="F24" s="1" t="str">
        <f aca="false">IF(C24="Singapore",IF(LEN(TEXT(E24,"000000"))=6,LEFT(TEXT(E24,"000000"),2),""),"")</f>
        <v>32</v>
      </c>
      <c r="H24" s="1" t="s">
        <v>55</v>
      </c>
      <c r="I24" s="1" t="s">
        <v>56</v>
      </c>
      <c r="J24" s="1" t="s">
        <v>57</v>
      </c>
      <c r="K24" s="11" t="s">
        <v>90</v>
      </c>
      <c r="L24" s="11" t="s">
        <v>59</v>
      </c>
      <c r="M24" s="1" t="n">
        <v>1.32327</v>
      </c>
      <c r="N24" s="1" t="n">
        <v>103.854936</v>
      </c>
      <c r="O24" s="11" t="s">
        <v>60</v>
      </c>
      <c r="P24" s="1" t="s">
        <v>73</v>
      </c>
      <c r="R24" s="1" t="s">
        <v>62</v>
      </c>
      <c r="AH24" s="1" t="s">
        <v>63</v>
      </c>
      <c r="AI24" s="1" t="s">
        <v>63</v>
      </c>
      <c r="AK24" s="1" t="s">
        <v>207</v>
      </c>
      <c r="AM24" s="12" t="s">
        <v>65</v>
      </c>
      <c r="AT24" s="1" t="s">
        <v>66</v>
      </c>
      <c r="AU24" s="1" t="str">
        <f aca="false">IF(OR(AT24=TRUE(),AT24="TRUE"),"This sample listing is provided solely to demonstrate the directory interface. It does not represent a live declaration, verification, endorsement or participating establishment.","")</f>
        <v/>
      </c>
      <c r="AV24" s="1" t="str">
        <f aca="false">IF(OR(A24="",B24="",C24="",D24=""),"Missing required fields",IF(NOT(AND(ISNUMBER(M24),ISNUMBER(N24))),"Missing coordinates","Complete"))</f>
        <v>Complete</v>
      </c>
      <c r="AW24" s="1" t="str">
        <f aca="false">IF(AND(ISNUMBER(M24),ISNUMBER(N24)),"Ready","Coordinates required")</f>
        <v>Ready</v>
      </c>
      <c r="AX24" s="1" t="str">
        <f aca="false">IF(OR(AT24=TRUE(),AT24="TRUE"),"Demo record",IF(A24="","Missing ID",IF(B24="","Missing name",IF(NOT(AND(ISNUMBER(M24),ISNUMBER(N24))),"Coordinates required","Ready for publication"))))</f>
        <v>Ready for publication</v>
      </c>
    </row>
    <row r="25" customFormat="false" ht="14.25" hidden="false" customHeight="true" outlineLevel="0" collapsed="false">
      <c r="A25" s="1" t="s">
        <v>208</v>
      </c>
      <c r="B25" s="1" t="s">
        <v>209</v>
      </c>
      <c r="C25" s="11" t="s">
        <v>52</v>
      </c>
      <c r="D25" s="1" t="s">
        <v>210</v>
      </c>
      <c r="E25" s="1" t="s">
        <v>211</v>
      </c>
      <c r="F25" s="1" t="str">
        <f aca="false">IF(C25="Singapore",IF(LEN(TEXT(E25,"000000"))=6,LEFT(TEXT(E25,"000000"),2),""),"")</f>
        <v>15</v>
      </c>
      <c r="H25" s="1" t="s">
        <v>212</v>
      </c>
      <c r="I25" s="1" t="s">
        <v>213</v>
      </c>
      <c r="J25" s="1" t="s">
        <v>214</v>
      </c>
      <c r="K25" s="11" t="s">
        <v>215</v>
      </c>
      <c r="L25" s="11" t="s">
        <v>59</v>
      </c>
      <c r="M25" s="1" t="n">
        <v>1.286482</v>
      </c>
      <c r="N25" s="1" t="n">
        <v>103.804596</v>
      </c>
      <c r="O25" s="11" t="s">
        <v>60</v>
      </c>
      <c r="P25" s="1" t="s">
        <v>73</v>
      </c>
      <c r="R25" s="1" t="s">
        <v>62</v>
      </c>
      <c r="AH25" s="1" t="s">
        <v>63</v>
      </c>
      <c r="AI25" s="1" t="s">
        <v>63</v>
      </c>
      <c r="AK25" s="1" t="s">
        <v>216</v>
      </c>
      <c r="AM25" s="12" t="n">
        <v>46311</v>
      </c>
      <c r="AN25" s="1" t="s">
        <v>217</v>
      </c>
      <c r="AT25" s="1" t="s">
        <v>66</v>
      </c>
      <c r="AU25" s="1" t="str">
        <f aca="false">IF(OR(AT25=TRUE(),AT25="TRUE"),"This sample listing is provided solely to demonstrate the directory interface. It does not represent a live declaration, verification, endorsement or participating establishment.","")</f>
        <v/>
      </c>
      <c r="AV25" s="1" t="str">
        <f aca="false">IF(OR(A25="",B25="",C25="",D25=""),"Missing required fields",IF(NOT(AND(ISNUMBER(M25),ISNUMBER(N25))),"Missing coordinates","Complete"))</f>
        <v>Complete</v>
      </c>
      <c r="AW25" s="1" t="str">
        <f aca="false">IF(AND(ISNUMBER(M25),ISNUMBER(N25)),"Ready","Coordinates required")</f>
        <v>Ready</v>
      </c>
      <c r="AX25" s="1" t="str">
        <f aca="false">IF(OR(AT25=TRUE(),AT25="TRUE"),"Demo record",IF(A25="","Missing ID",IF(B25="","Missing name",IF(NOT(AND(ISNUMBER(M25),ISNUMBER(N25))),"Coordinates required","Ready for publication"))))</f>
        <v>Ready for publication</v>
      </c>
    </row>
    <row r="26" customFormat="false" ht="14.25" hidden="false" customHeight="true" outlineLevel="0" collapsed="false">
      <c r="A26" s="1" t="s">
        <v>218</v>
      </c>
      <c r="B26" s="1" t="s">
        <v>219</v>
      </c>
      <c r="C26" s="11" t="s">
        <v>52</v>
      </c>
      <c r="D26" s="1" t="s">
        <v>220</v>
      </c>
      <c r="E26" s="1" t="s">
        <v>221</v>
      </c>
      <c r="F26" s="1" t="str">
        <f aca="false">IF(C26="Singapore",IF(LEN(TEXT(E26,"000000"))=6,LEFT(TEXT(E26,"000000"),2),""),"")</f>
        <v>18</v>
      </c>
      <c r="H26" s="1" t="s">
        <v>222</v>
      </c>
      <c r="I26" s="1" t="s">
        <v>223</v>
      </c>
      <c r="J26" s="1" t="s">
        <v>224</v>
      </c>
      <c r="K26" s="11" t="s">
        <v>225</v>
      </c>
      <c r="L26" s="11" t="s">
        <v>197</v>
      </c>
      <c r="M26" s="1" t="n">
        <v>1.296024</v>
      </c>
      <c r="N26" s="1" t="n">
        <v>103.854848</v>
      </c>
      <c r="O26" s="11" t="s">
        <v>60</v>
      </c>
      <c r="P26" s="1" t="s">
        <v>73</v>
      </c>
      <c r="R26" s="1" t="s">
        <v>62</v>
      </c>
      <c r="AH26" s="1" t="s">
        <v>63</v>
      </c>
      <c r="AI26" s="1" t="s">
        <v>63</v>
      </c>
      <c r="AK26" s="1" t="s">
        <v>226</v>
      </c>
      <c r="AM26" s="12" t="n">
        <v>46311</v>
      </c>
      <c r="AN26" s="1" t="s">
        <v>227</v>
      </c>
      <c r="AT26" s="1" t="s">
        <v>66</v>
      </c>
      <c r="AU26" s="1" t="str">
        <f aca="false">IF(OR(AT26=TRUE(),AT26="TRUE"),"This sample listing is provided solely to demonstrate the directory interface. It does not represent a live declaration, verification, endorsement or participating establishment.","")</f>
        <v/>
      </c>
      <c r="AV26" s="1" t="str">
        <f aca="false">IF(OR(A26="",B26="",C26="",D26=""),"Missing required fields",IF(NOT(AND(ISNUMBER(M26),ISNUMBER(N26))),"Missing coordinates","Complete"))</f>
        <v>Complete</v>
      </c>
      <c r="AW26" s="1" t="str">
        <f aca="false">IF(AND(ISNUMBER(M26),ISNUMBER(N26)),"Ready","Coordinates required")</f>
        <v>Ready</v>
      </c>
      <c r="AX26" s="1" t="str">
        <f aca="false">IF(OR(AT26=TRUE(),AT26="TRUE"),"Demo record",IF(A26="","Missing ID",IF(B26="","Missing name",IF(NOT(AND(ISNUMBER(M26),ISNUMBER(N26))),"Coordinates required","Ready for publication"))))</f>
        <v>Ready for publication</v>
      </c>
    </row>
    <row r="27" customFormat="false" ht="14.25" hidden="false" customHeight="true" outlineLevel="0" collapsed="false">
      <c r="A27" s="1" t="s">
        <v>228</v>
      </c>
      <c r="B27" s="1" t="s">
        <v>229</v>
      </c>
      <c r="C27" s="11" t="s">
        <v>52</v>
      </c>
      <c r="D27" s="1" t="s">
        <v>230</v>
      </c>
      <c r="E27" s="1" t="s">
        <v>231</v>
      </c>
      <c r="F27" s="1" t="str">
        <f aca="false">IF(C27="Singapore",IF(LEN(TEXT(E27,"000000"))=6,LEFT(TEXT(E27,"000000"),2),""),"")</f>
        <v>33</v>
      </c>
      <c r="H27" s="1" t="s">
        <v>55</v>
      </c>
      <c r="I27" s="1" t="s">
        <v>56</v>
      </c>
      <c r="J27" s="1" t="s">
        <v>57</v>
      </c>
      <c r="K27" s="11" t="s">
        <v>90</v>
      </c>
      <c r="L27" s="11" t="s">
        <v>197</v>
      </c>
      <c r="M27" s="1" t="n">
        <v>1.312239</v>
      </c>
      <c r="N27" s="1" t="n">
        <v>103.864392</v>
      </c>
      <c r="O27" s="11" t="s">
        <v>60</v>
      </c>
      <c r="P27" s="1" t="s">
        <v>73</v>
      </c>
      <c r="R27" s="1" t="s">
        <v>62</v>
      </c>
      <c r="AH27" s="1" t="s">
        <v>63</v>
      </c>
      <c r="AI27" s="1" t="s">
        <v>63</v>
      </c>
      <c r="AK27" s="1" t="s">
        <v>232</v>
      </c>
      <c r="AM27" s="12" t="n">
        <v>46311</v>
      </c>
      <c r="AN27" s="1" t="s">
        <v>233</v>
      </c>
      <c r="AT27" s="1" t="s">
        <v>66</v>
      </c>
      <c r="AU27" s="1" t="str">
        <f aca="false">IF(OR(AT27=TRUE(),AT27="TRUE"),"This sample listing is provided solely to demonstrate the directory interface. It does not represent a live declaration, verification, endorsement or participating establishment.","")</f>
        <v/>
      </c>
      <c r="AV27" s="1" t="str">
        <f aca="false">IF(OR(A27="",B27="",C27="",D27=""),"Missing required fields",IF(NOT(AND(ISNUMBER(M27),ISNUMBER(N27))),"Missing coordinates","Complete"))</f>
        <v>Complete</v>
      </c>
      <c r="AW27" s="1" t="str">
        <f aca="false">IF(AND(ISNUMBER(M27),ISNUMBER(N27)),"Ready","Coordinates required")</f>
        <v>Ready</v>
      </c>
      <c r="AX27" s="1" t="str">
        <f aca="false">IF(OR(AT27=TRUE(),AT27="TRUE"),"Demo record",IF(A27="","Missing ID",IF(B27="","Missing name",IF(NOT(AND(ISNUMBER(M27),ISNUMBER(N27))),"Coordinates required","Ready for publication"))))</f>
        <v>Ready for publication</v>
      </c>
    </row>
    <row r="28" customFormat="false" ht="14.25" hidden="false" customHeight="true" outlineLevel="0" collapsed="false">
      <c r="A28" s="1" t="s">
        <v>234</v>
      </c>
      <c r="B28" s="1" t="s">
        <v>235</v>
      </c>
      <c r="C28" s="11" t="s">
        <v>52</v>
      </c>
      <c r="D28" s="1" t="s">
        <v>236</v>
      </c>
      <c r="E28" s="1" t="s">
        <v>237</v>
      </c>
      <c r="F28" s="1" t="str">
        <f aca="false">IF(C28="Singapore",IF(LEN(TEXT(E28,"000000"))=6,LEFT(TEXT(E28,"000000"),2),""),"")</f>
        <v>07</v>
      </c>
      <c r="H28" s="1" t="s">
        <v>238</v>
      </c>
      <c r="I28" s="1" t="s">
        <v>239</v>
      </c>
      <c r="J28" s="1" t="s">
        <v>240</v>
      </c>
      <c r="K28" s="11" t="s">
        <v>241</v>
      </c>
      <c r="L28" s="11" t="s">
        <v>59</v>
      </c>
      <c r="M28" s="1" t="n">
        <v>1.274669</v>
      </c>
      <c r="N28" s="1" t="n">
        <v>103.844493</v>
      </c>
      <c r="O28" s="11" t="s">
        <v>60</v>
      </c>
      <c r="P28" s="1" t="s">
        <v>73</v>
      </c>
      <c r="R28" s="1" t="s">
        <v>62</v>
      </c>
      <c r="AH28" s="1" t="s">
        <v>63</v>
      </c>
      <c r="AI28" s="1" t="s">
        <v>63</v>
      </c>
      <c r="AK28" s="1" t="s">
        <v>242</v>
      </c>
      <c r="AM28" s="12" t="n">
        <v>46311</v>
      </c>
      <c r="AT28" s="1" t="s">
        <v>66</v>
      </c>
      <c r="AU28" s="1" t="str">
        <f aca="false">IF(OR(AT28=TRUE(),AT28="TRUE"),"This sample listing is provided solely to demonstrate the directory interface. It does not represent a live declaration, verification, endorsement or participating establishment.","")</f>
        <v/>
      </c>
      <c r="AV28" s="1" t="str">
        <f aca="false">IF(OR(A28="",B28="",C28="",D28=""),"Missing required fields",IF(NOT(AND(ISNUMBER(M28),ISNUMBER(N28))),"Missing coordinates","Complete"))</f>
        <v>Complete</v>
      </c>
      <c r="AW28" s="1" t="str">
        <f aca="false">IF(AND(ISNUMBER(M28),ISNUMBER(N28)),"Ready","Coordinates required")</f>
        <v>Ready</v>
      </c>
      <c r="AX28" s="1" t="str">
        <f aca="false">IF(OR(AT28=TRUE(),AT28="TRUE"),"Demo record",IF(A28="","Missing ID",IF(B28="","Missing name",IF(NOT(AND(ISNUMBER(M28),ISNUMBER(N28))),"Coordinates required","Ready for publication"))))</f>
        <v>Ready for publication</v>
      </c>
    </row>
    <row r="29" customFormat="false" ht="14.25" hidden="false" customHeight="true" outlineLevel="0" collapsed="false">
      <c r="A29" s="1" t="s">
        <v>243</v>
      </c>
      <c r="B29" s="1" t="s">
        <v>244</v>
      </c>
      <c r="C29" s="11" t="s">
        <v>52</v>
      </c>
      <c r="D29" s="1" t="s">
        <v>245</v>
      </c>
      <c r="E29" s="1" t="s">
        <v>246</v>
      </c>
      <c r="F29" s="1" t="str">
        <f aca="false">IF(C29="Singapore",IF(LEN(TEXT(E29,"000000"))=6,LEFT(TEXT(E29,"000000"),2),""),"")</f>
        <v>59</v>
      </c>
      <c r="H29" s="1" t="s">
        <v>173</v>
      </c>
      <c r="I29" s="1" t="s">
        <v>174</v>
      </c>
      <c r="J29" s="1" t="s">
        <v>175</v>
      </c>
      <c r="K29" s="11"/>
      <c r="L29" s="11" t="s">
        <v>247</v>
      </c>
      <c r="M29" s="1" t="n">
        <v>1.341239</v>
      </c>
      <c r="N29" s="1" t="n">
        <v>103.775068</v>
      </c>
      <c r="O29" s="11" t="s">
        <v>60</v>
      </c>
      <c r="P29" s="1" t="s">
        <v>73</v>
      </c>
      <c r="R29" s="1" t="s">
        <v>62</v>
      </c>
      <c r="AH29" s="1" t="s">
        <v>63</v>
      </c>
      <c r="AI29" s="1" t="s">
        <v>63</v>
      </c>
      <c r="AK29" s="1" t="s">
        <v>248</v>
      </c>
      <c r="AM29" s="12" t="n">
        <v>46311</v>
      </c>
      <c r="AT29" s="1" t="s">
        <v>66</v>
      </c>
      <c r="AU29" s="1" t="str">
        <f aca="false">IF(OR(AT29=TRUE(),AT29="TRUE"),"This sample listing is provided solely to demonstrate the directory interface. It does not represent a live declaration, verification, endorsement or participating establishment.","")</f>
        <v/>
      </c>
      <c r="AV29" s="1" t="str">
        <f aca="false">IF(OR(A29="",B29="",C29="",D29=""),"Missing required fields",IF(NOT(AND(ISNUMBER(M29),ISNUMBER(N29))),"Missing coordinates","Complete"))</f>
        <v>Complete</v>
      </c>
      <c r="AW29" s="1" t="str">
        <f aca="false">IF(AND(ISNUMBER(M29),ISNUMBER(N29)),"Ready","Coordinates required")</f>
        <v>Ready</v>
      </c>
      <c r="AX29" s="1" t="str">
        <f aca="false">IF(OR(AT29=TRUE(),AT29="TRUE"),"Demo record",IF(A29="","Missing ID",IF(B29="","Missing name",IF(NOT(AND(ISNUMBER(M29),ISNUMBER(N29))),"Coordinates required","Ready for publication"))))</f>
        <v>Ready for publication</v>
      </c>
    </row>
    <row r="30" customFormat="false" ht="14.25" hidden="false" customHeight="true" outlineLevel="0" collapsed="false">
      <c r="A30" s="1" t="s">
        <v>249</v>
      </c>
      <c r="B30" s="1" t="s">
        <v>250</v>
      </c>
      <c r="C30" s="11" t="s">
        <v>52</v>
      </c>
      <c r="D30" s="1" t="s">
        <v>251</v>
      </c>
      <c r="E30" s="1" t="s">
        <v>252</v>
      </c>
      <c r="F30" s="1" t="str">
        <f aca="false">IF(C30="Singapore",IF(LEN(TEXT(E30,"000000"))=6,LEFT(TEXT(E30,"000000"),2),""),"")</f>
        <v>63</v>
      </c>
      <c r="H30" s="1" t="s">
        <v>253</v>
      </c>
      <c r="I30" s="1" t="s">
        <v>254</v>
      </c>
      <c r="J30" s="1" t="s">
        <v>255</v>
      </c>
      <c r="K30" s="11" t="s">
        <v>102</v>
      </c>
      <c r="L30" s="11" t="s">
        <v>59</v>
      </c>
      <c r="M30" s="1" t="n">
        <v>1.34706</v>
      </c>
      <c r="N30" s="1" t="n">
        <v>103.680383</v>
      </c>
      <c r="O30" s="11" t="s">
        <v>60</v>
      </c>
      <c r="P30" s="1" t="s">
        <v>73</v>
      </c>
      <c r="R30" s="1" t="s">
        <v>62</v>
      </c>
      <c r="AH30" s="1" t="s">
        <v>63</v>
      </c>
      <c r="AI30" s="1" t="s">
        <v>63</v>
      </c>
      <c r="AK30" s="1" t="s">
        <v>256</v>
      </c>
      <c r="AM30" s="12" t="n">
        <v>46311</v>
      </c>
      <c r="AT30" s="1" t="s">
        <v>66</v>
      </c>
      <c r="AU30" s="1" t="str">
        <f aca="false">IF(OR(AT30=TRUE(),AT30="TRUE"),"This sample listing is provided solely to demonstrate the directory interface. It does not represent a live declaration, verification, endorsement or participating establishment.","")</f>
        <v/>
      </c>
      <c r="AV30" s="1" t="str">
        <f aca="false">IF(OR(A30="",B30="",C30="",D30=""),"Missing required fields",IF(NOT(AND(ISNUMBER(M30),ISNUMBER(N30))),"Missing coordinates","Complete"))</f>
        <v>Complete</v>
      </c>
      <c r="AW30" s="1" t="str">
        <f aca="false">IF(AND(ISNUMBER(M30),ISNUMBER(N30)),"Ready","Coordinates required")</f>
        <v>Ready</v>
      </c>
      <c r="AX30" s="1" t="str">
        <f aca="false">IF(OR(AT30=TRUE(),AT30="TRUE"),"Demo record",IF(A30="","Missing ID",IF(B30="","Missing name",IF(NOT(AND(ISNUMBER(M30),ISNUMBER(N30))),"Coordinates required","Ready for publication"))))</f>
        <v>Ready for publication</v>
      </c>
    </row>
    <row r="31" customFormat="false" ht="14.25" hidden="false" customHeight="true" outlineLevel="0" collapsed="false">
      <c r="A31" s="1" t="s">
        <v>257</v>
      </c>
      <c r="B31" s="1" t="s">
        <v>258</v>
      </c>
      <c r="C31" s="11" t="s">
        <v>52</v>
      </c>
      <c r="D31" s="1" t="s">
        <v>259</v>
      </c>
      <c r="E31" s="1" t="s">
        <v>260</v>
      </c>
      <c r="F31" s="1" t="str">
        <f aca="false">IF(C31="Singapore",IF(LEN(TEXT(E31,"000000"))=6,LEFT(TEXT(E31,"000000"),2),""),"")</f>
        <v>52</v>
      </c>
      <c r="H31" s="1" t="s">
        <v>70</v>
      </c>
      <c r="I31" s="1" t="s">
        <v>71</v>
      </c>
      <c r="J31" s="1" t="s">
        <v>72</v>
      </c>
      <c r="K31" s="11" t="s">
        <v>261</v>
      </c>
      <c r="L31" s="11" t="s">
        <v>59</v>
      </c>
      <c r="M31" s="1" t="n">
        <v>1.349558</v>
      </c>
      <c r="N31" s="1" t="n">
        <v>103.932369</v>
      </c>
      <c r="O31" s="11" t="s">
        <v>60</v>
      </c>
      <c r="P31" s="1" t="s">
        <v>73</v>
      </c>
      <c r="R31" s="1" t="s">
        <v>62</v>
      </c>
      <c r="AH31" s="1" t="s">
        <v>63</v>
      </c>
      <c r="AI31" s="1" t="s">
        <v>63</v>
      </c>
      <c r="AK31" s="1" t="s">
        <v>262</v>
      </c>
      <c r="AM31" s="12" t="s">
        <v>65</v>
      </c>
      <c r="AT31" s="1" t="s">
        <v>66</v>
      </c>
      <c r="AU31" s="1" t="str">
        <f aca="false">IF(OR(AT31=TRUE(),AT31="TRUE"),"This sample listing is provided solely to demonstrate the directory interface. It does not represent a live declaration, verification, endorsement or participating establishment.","")</f>
        <v/>
      </c>
      <c r="AV31" s="1" t="str">
        <f aca="false">IF(OR(A31="",B31="",C31="",D31=""),"Missing required fields",IF(NOT(AND(ISNUMBER(M31),ISNUMBER(N31))),"Missing coordinates","Complete"))</f>
        <v>Complete</v>
      </c>
      <c r="AW31" s="1" t="str">
        <f aca="false">IF(AND(ISNUMBER(M31),ISNUMBER(N31)),"Ready","Coordinates required")</f>
        <v>Ready</v>
      </c>
      <c r="AX31" s="1" t="str">
        <f aca="false">IF(OR(AT31=TRUE(),AT31="TRUE"),"Demo record",IF(A31="","Missing ID",IF(B31="","Missing name",IF(NOT(AND(ISNUMBER(M31),ISNUMBER(N31))),"Coordinates required","Ready for publication"))))</f>
        <v>Ready for publication</v>
      </c>
    </row>
    <row r="32" customFormat="false" ht="14.25" hidden="false" customHeight="true" outlineLevel="0" collapsed="false">
      <c r="A32" s="1" t="s">
        <v>263</v>
      </c>
      <c r="B32" s="1" t="s">
        <v>264</v>
      </c>
      <c r="C32" s="11" t="s">
        <v>52</v>
      </c>
      <c r="D32" s="1" t="s">
        <v>265</v>
      </c>
      <c r="E32" s="1" t="s">
        <v>266</v>
      </c>
      <c r="F32" s="1" t="str">
        <f aca="false">IF(C32="Singapore",IF(LEN(TEXT(E32,"000000"))=6,LEFT(TEXT(E32,"000000"),2),""),"")</f>
        <v>42</v>
      </c>
      <c r="H32" s="1" t="s">
        <v>267</v>
      </c>
      <c r="I32" s="1" t="s">
        <v>268</v>
      </c>
      <c r="J32" s="1" t="s">
        <v>269</v>
      </c>
      <c r="K32" s="11"/>
      <c r="L32" s="11" t="s">
        <v>59</v>
      </c>
      <c r="M32" s="1" t="n">
        <v>1.31556</v>
      </c>
      <c r="N32" s="1" t="n">
        <v>103.89791</v>
      </c>
      <c r="O32" s="11" t="s">
        <v>60</v>
      </c>
      <c r="P32" s="1" t="s">
        <v>73</v>
      </c>
      <c r="R32" s="1" t="s">
        <v>62</v>
      </c>
      <c r="AH32" s="1" t="s">
        <v>63</v>
      </c>
      <c r="AI32" s="1" t="s">
        <v>63</v>
      </c>
      <c r="AK32" s="1" t="s">
        <v>270</v>
      </c>
      <c r="AM32" s="12" t="s">
        <v>65</v>
      </c>
      <c r="AN32" s="1" t="s">
        <v>271</v>
      </c>
      <c r="AT32" s="1" t="s">
        <v>66</v>
      </c>
      <c r="AU32" s="1" t="str">
        <f aca="false">IF(OR(AT32=TRUE(),AT32="TRUE"),"This sample listing is provided solely to demonstrate the directory interface. It does not represent a live declaration, verification, endorsement or participating establishment.","")</f>
        <v/>
      </c>
      <c r="AV32" s="1" t="str">
        <f aca="false">IF(OR(A32="",B32="",C32="",D32=""),"Missing required fields",IF(NOT(AND(ISNUMBER(M32),ISNUMBER(N32))),"Missing coordinates","Complete"))</f>
        <v>Complete</v>
      </c>
      <c r="AW32" s="1" t="str">
        <f aca="false">IF(AND(ISNUMBER(M32),ISNUMBER(N32)),"Ready","Coordinates required")</f>
        <v>Ready</v>
      </c>
      <c r="AX32" s="1" t="str">
        <f aca="false">IF(OR(AT32=TRUE(),AT32="TRUE"),"Demo record",IF(A32="","Missing ID",IF(B32="","Missing name",IF(NOT(AND(ISNUMBER(M32),ISNUMBER(N32))),"Coordinates required","Ready for publication"))))</f>
        <v>Ready for publication</v>
      </c>
    </row>
    <row r="33" customFormat="false" ht="14.25" hidden="false" customHeight="true" outlineLevel="0" collapsed="false">
      <c r="A33" s="1" t="s">
        <v>272</v>
      </c>
      <c r="B33" s="1" t="s">
        <v>273</v>
      </c>
      <c r="C33" s="11" t="s">
        <v>52</v>
      </c>
      <c r="D33" s="1" t="s">
        <v>274</v>
      </c>
      <c r="E33" s="1" t="s">
        <v>275</v>
      </c>
      <c r="F33" s="1" t="str">
        <f aca="false">IF(C33="Singapore",IF(LEN(TEXT(E33,"000000"))=6,LEFT(TEXT(E33,"000000"),2),""),"")</f>
        <v>32</v>
      </c>
      <c r="H33" s="1" t="s">
        <v>55</v>
      </c>
      <c r="I33" s="1" t="s">
        <v>56</v>
      </c>
      <c r="J33" s="1" t="s">
        <v>57</v>
      </c>
      <c r="K33" s="11" t="s">
        <v>276</v>
      </c>
      <c r="L33" s="11" t="s">
        <v>59</v>
      </c>
      <c r="M33" s="1" t="n">
        <v>1.324897</v>
      </c>
      <c r="N33" s="1" t="n">
        <v>103.851144</v>
      </c>
      <c r="O33" s="11" t="s">
        <v>60</v>
      </c>
      <c r="P33" s="1" t="s">
        <v>73</v>
      </c>
      <c r="R33" s="1" t="s">
        <v>62</v>
      </c>
      <c r="AH33" s="1" t="s">
        <v>63</v>
      </c>
      <c r="AI33" s="1" t="s">
        <v>63</v>
      </c>
      <c r="AK33" s="1" t="s">
        <v>103</v>
      </c>
      <c r="AM33" s="12" t="s">
        <v>65</v>
      </c>
      <c r="AT33" s="1" t="s">
        <v>66</v>
      </c>
      <c r="AU33" s="1" t="str">
        <f aca="false">IF(OR(AT33=TRUE(),AT33="TRUE"),"This sample listing is provided solely to demonstrate the directory interface. It does not represent a live declaration, verification, endorsement or participating establishment.","")</f>
        <v/>
      </c>
      <c r="AV33" s="1" t="str">
        <f aca="false">IF(OR(A33="",B33="",C33="",D33=""),"Missing required fields",IF(NOT(AND(ISNUMBER(M33),ISNUMBER(N33))),"Missing coordinates","Complete"))</f>
        <v>Complete</v>
      </c>
      <c r="AW33" s="1" t="str">
        <f aca="false">IF(AND(ISNUMBER(M33),ISNUMBER(N33)),"Ready","Coordinates required")</f>
        <v>Ready</v>
      </c>
      <c r="AX33" s="1" t="str">
        <f aca="false">IF(OR(AT33=TRUE(),AT33="TRUE"),"Demo record",IF(A33="","Missing ID",IF(B33="","Missing name",IF(NOT(AND(ISNUMBER(M33),ISNUMBER(N33))),"Coordinates required","Ready for publication"))))</f>
        <v>Ready for publication</v>
      </c>
    </row>
    <row r="34" customFormat="false" ht="14.25" hidden="false" customHeight="true" outlineLevel="0" collapsed="false">
      <c r="A34" s="1" t="s">
        <v>277</v>
      </c>
      <c r="B34" s="1" t="s">
        <v>273</v>
      </c>
      <c r="C34" s="11" t="s">
        <v>52</v>
      </c>
      <c r="D34" s="1" t="s">
        <v>278</v>
      </c>
      <c r="F34" s="1" t="str">
        <f aca="false">IF(C34="Singapore",IF(LEN(TEXT(E34,"000000"))=6,LEFT(TEXT(E34,"000000"),2),""),"")</f>
        <v>00</v>
      </c>
      <c r="K34" s="11" t="s">
        <v>276</v>
      </c>
      <c r="L34" s="11" t="s">
        <v>59</v>
      </c>
      <c r="M34" s="1" t="n">
        <v>1.356475</v>
      </c>
      <c r="N34" s="1" t="n">
        <v>103.988935</v>
      </c>
      <c r="O34" s="11" t="s">
        <v>60</v>
      </c>
      <c r="P34" s="1" t="s">
        <v>61</v>
      </c>
      <c r="R34" s="1" t="s">
        <v>62</v>
      </c>
      <c r="AH34" s="1" t="s">
        <v>63</v>
      </c>
      <c r="AI34" s="1" t="s">
        <v>63</v>
      </c>
      <c r="AK34" s="1" t="s">
        <v>279</v>
      </c>
      <c r="AM34" s="12" t="n">
        <v>46311</v>
      </c>
      <c r="AT34" s="1" t="s">
        <v>66</v>
      </c>
      <c r="AU34" s="1" t="str">
        <f aca="false">IF(OR(AT34=TRUE(),AT34="TRUE"),"This sample listing is provided solely to demonstrate the directory interface. It does not represent a live declaration, verification, endorsement or participating establishment.","")</f>
        <v/>
      </c>
      <c r="AV34" s="1" t="str">
        <f aca="false">IF(OR(A34="",B34="",C34="",D34=""),"Missing required fields",IF(NOT(AND(ISNUMBER(M34),ISNUMBER(N34))),"Missing coordinates","Complete"))</f>
        <v>Complete</v>
      </c>
      <c r="AW34" s="1" t="str">
        <f aca="false">IF(AND(ISNUMBER(M34),ISNUMBER(N34)),"Ready","Coordinates required")</f>
        <v>Ready</v>
      </c>
      <c r="AX34" s="1" t="str">
        <f aca="false">IF(OR(AT34=TRUE(),AT34="TRUE"),"Demo record",IF(A34="","Missing ID",IF(B34="","Missing name",IF(NOT(AND(ISNUMBER(M34),ISNUMBER(N34))),"Coordinates required","Ready for publication"))))</f>
        <v>Ready for publication</v>
      </c>
    </row>
    <row r="35" customFormat="false" ht="14.25" hidden="false" customHeight="true" outlineLevel="0" collapsed="false">
      <c r="A35" s="1" t="s">
        <v>280</v>
      </c>
      <c r="B35" s="1" t="s">
        <v>273</v>
      </c>
      <c r="C35" s="11" t="s">
        <v>52</v>
      </c>
      <c r="D35" s="1" t="s">
        <v>281</v>
      </c>
      <c r="E35" s="1" t="s">
        <v>282</v>
      </c>
      <c r="F35" s="1" t="str">
        <f aca="false">IF(C35="Singapore",IF(LEN(TEXT(E35,"000000"))=6,LEFT(TEXT(E35,"000000"),2),""),"")</f>
        <v>05</v>
      </c>
      <c r="H35" s="1" t="s">
        <v>193</v>
      </c>
      <c r="I35" s="1" t="s">
        <v>194</v>
      </c>
      <c r="J35" s="1" t="s">
        <v>195</v>
      </c>
      <c r="K35" s="11" t="s">
        <v>276</v>
      </c>
      <c r="L35" s="11" t="s">
        <v>59</v>
      </c>
      <c r="M35" s="1" t="n">
        <v>1.285243</v>
      </c>
      <c r="N35" s="1" t="n">
        <v>103.845229</v>
      </c>
      <c r="O35" s="11" t="s">
        <v>60</v>
      </c>
      <c r="P35" s="1" t="s">
        <v>61</v>
      </c>
      <c r="R35" s="1" t="s">
        <v>62</v>
      </c>
      <c r="AH35" s="1" t="s">
        <v>63</v>
      </c>
      <c r="AI35" s="1" t="s">
        <v>63</v>
      </c>
      <c r="AK35" s="1" t="s">
        <v>283</v>
      </c>
      <c r="AM35" s="12" t="n">
        <v>46311</v>
      </c>
      <c r="AN35" s="1" t="s">
        <v>284</v>
      </c>
      <c r="AT35" s="1" t="s">
        <v>66</v>
      </c>
      <c r="AU35" s="1" t="str">
        <f aca="false">IF(OR(AT35=TRUE(),AT35="TRUE"),"This sample listing is provided solely to demonstrate the directory interface. It does not represent a live declaration, verification, endorsement or participating establishment.","")</f>
        <v/>
      </c>
      <c r="AV35" s="1" t="str">
        <f aca="false">IF(OR(A35="",B35="",C35="",D35=""),"Missing required fields",IF(NOT(AND(ISNUMBER(M35),ISNUMBER(N35))),"Missing coordinates","Complete"))</f>
        <v>Complete</v>
      </c>
      <c r="AW35" s="1" t="str">
        <f aca="false">IF(AND(ISNUMBER(M35),ISNUMBER(N35)),"Ready","Coordinates required")</f>
        <v>Ready</v>
      </c>
      <c r="AX35" s="1" t="str">
        <f aca="false">IF(OR(AT35=TRUE(),AT35="TRUE"),"Demo record",IF(A35="","Missing ID",IF(B35="","Missing name",IF(NOT(AND(ISNUMBER(M35),ISNUMBER(N35))),"Coordinates required","Ready for publication"))))</f>
        <v>Ready for publication</v>
      </c>
    </row>
    <row r="36" customFormat="false" ht="14.25" hidden="false" customHeight="true" outlineLevel="0" collapsed="false">
      <c r="A36" s="1" t="s">
        <v>285</v>
      </c>
      <c r="B36" s="1" t="s">
        <v>286</v>
      </c>
      <c r="C36" s="11" t="s">
        <v>52</v>
      </c>
      <c r="D36" s="1" t="s">
        <v>287</v>
      </c>
      <c r="E36" s="1" t="s">
        <v>288</v>
      </c>
      <c r="F36" s="1" t="str">
        <f aca="false">IF(C36="Singapore",IF(LEN(TEXT(E36,"000000"))=6,LEFT(TEXT(E36,"000000"),2),""),"")</f>
        <v>19</v>
      </c>
      <c r="H36" s="1" t="s">
        <v>222</v>
      </c>
      <c r="I36" s="1" t="s">
        <v>223</v>
      </c>
      <c r="J36" s="1" t="s">
        <v>224</v>
      </c>
      <c r="K36" s="11" t="s">
        <v>102</v>
      </c>
      <c r="L36" s="11" t="s">
        <v>59</v>
      </c>
      <c r="M36" s="1" t="n">
        <v>1.302584</v>
      </c>
      <c r="N36" s="1" t="n">
        <v>103.858016</v>
      </c>
      <c r="O36" s="11" t="s">
        <v>60</v>
      </c>
      <c r="P36" s="1" t="s">
        <v>73</v>
      </c>
      <c r="R36" s="1" t="s">
        <v>62</v>
      </c>
      <c r="AH36" s="1" t="s">
        <v>63</v>
      </c>
      <c r="AI36" s="1" t="s">
        <v>63</v>
      </c>
      <c r="AK36" s="1" t="s">
        <v>289</v>
      </c>
      <c r="AM36" s="12" t="n">
        <v>46311</v>
      </c>
      <c r="AT36" s="1" t="s">
        <v>66</v>
      </c>
      <c r="AU36" s="1" t="str">
        <f aca="false">IF(OR(AT36=TRUE(),AT36="TRUE"),"This sample listing is provided solely to demonstrate the directory interface. It does not represent a live declaration, verification, endorsement or participating establishment.","")</f>
        <v/>
      </c>
      <c r="AV36" s="1" t="str">
        <f aca="false">IF(OR(A36="",B36="",C36="",D36=""),"Missing required fields",IF(NOT(AND(ISNUMBER(M36),ISNUMBER(N36))),"Missing coordinates","Complete"))</f>
        <v>Complete</v>
      </c>
      <c r="AW36" s="1" t="str">
        <f aca="false">IF(AND(ISNUMBER(M36),ISNUMBER(N36)),"Ready","Coordinates required")</f>
        <v>Ready</v>
      </c>
      <c r="AX36" s="1" t="str">
        <f aca="false">IF(OR(AT36=TRUE(),AT36="TRUE"),"Demo record",IF(A36="","Missing ID",IF(B36="","Missing name",IF(NOT(AND(ISNUMBER(M36),ISNUMBER(N36))),"Coordinates required","Ready for publication"))))</f>
        <v>Ready for publication</v>
      </c>
    </row>
    <row r="37" customFormat="false" ht="14.25" hidden="false" customHeight="true" outlineLevel="0" collapsed="false">
      <c r="A37" s="1" t="s">
        <v>290</v>
      </c>
      <c r="B37" s="1" t="s">
        <v>291</v>
      </c>
      <c r="C37" s="11" t="s">
        <v>52</v>
      </c>
      <c r="D37" s="1" t="s">
        <v>292</v>
      </c>
      <c r="E37" s="1" t="s">
        <v>293</v>
      </c>
      <c r="F37" s="1" t="str">
        <f aca="false">IF(C37="Singapore",IF(LEN(TEXT(E37,"000000"))=6,LEFT(TEXT(E37,"000000"),2),""),"")</f>
        <v>33</v>
      </c>
      <c r="H37" s="1" t="s">
        <v>55</v>
      </c>
      <c r="I37" s="1" t="s">
        <v>56</v>
      </c>
      <c r="J37" s="1" t="s">
        <v>57</v>
      </c>
      <c r="K37" s="11" t="s">
        <v>241</v>
      </c>
      <c r="L37" s="11" t="s">
        <v>59</v>
      </c>
      <c r="M37" s="1" t="n">
        <v>1.312237</v>
      </c>
      <c r="N37" s="1" t="n">
        <v>103.863119</v>
      </c>
      <c r="O37" s="11" t="s">
        <v>60</v>
      </c>
      <c r="P37" s="1" t="s">
        <v>73</v>
      </c>
      <c r="R37" s="1" t="s">
        <v>62</v>
      </c>
      <c r="AH37" s="1" t="s">
        <v>63</v>
      </c>
      <c r="AI37" s="1" t="s">
        <v>63</v>
      </c>
      <c r="AK37" s="1" t="s">
        <v>294</v>
      </c>
      <c r="AM37" s="12" t="s">
        <v>65</v>
      </c>
      <c r="AT37" s="1" t="s">
        <v>66</v>
      </c>
      <c r="AU37" s="1" t="str">
        <f aca="false">IF(OR(AT37=TRUE(),AT37="TRUE"),"This sample listing is provided solely to demonstrate the directory interface. It does not represent a live declaration, verification, endorsement or participating establishment.","")</f>
        <v/>
      </c>
      <c r="AV37" s="1" t="str">
        <f aca="false">IF(OR(A37="",B37="",C37="",D37=""),"Missing required fields",IF(NOT(AND(ISNUMBER(M37),ISNUMBER(N37))),"Missing coordinates","Complete"))</f>
        <v>Complete</v>
      </c>
      <c r="AW37" s="1" t="str">
        <f aca="false">IF(AND(ISNUMBER(M37),ISNUMBER(N37)),"Ready","Coordinates required")</f>
        <v>Ready</v>
      </c>
      <c r="AX37" s="1" t="str">
        <f aca="false">IF(OR(AT37=TRUE(),AT37="TRUE"),"Demo record",IF(A37="","Missing ID",IF(B37="","Missing name",IF(NOT(AND(ISNUMBER(M37),ISNUMBER(N37))),"Coordinates required","Ready for publication"))))</f>
        <v>Ready for publication</v>
      </c>
    </row>
    <row r="38" customFormat="false" ht="14.25" hidden="false" customHeight="true" outlineLevel="0" collapsed="false">
      <c r="A38" s="1" t="s">
        <v>295</v>
      </c>
      <c r="B38" s="1" t="s">
        <v>296</v>
      </c>
      <c r="C38" s="11" t="s">
        <v>52</v>
      </c>
      <c r="D38" s="1" t="s">
        <v>297</v>
      </c>
      <c r="E38" s="1" t="s">
        <v>298</v>
      </c>
      <c r="F38" s="1" t="str">
        <f aca="false">IF(C38="Singapore",IF(LEN(TEXT(E38,"000000"))=6,LEFT(TEXT(E38,"000000"),2),""),"")</f>
        <v>50</v>
      </c>
      <c r="H38" s="1" t="s">
        <v>164</v>
      </c>
      <c r="I38" s="1" t="s">
        <v>165</v>
      </c>
      <c r="J38" s="1" t="s">
        <v>166</v>
      </c>
      <c r="K38" s="11" t="s">
        <v>299</v>
      </c>
      <c r="L38" s="11" t="s">
        <v>59</v>
      </c>
      <c r="M38" s="1" t="n">
        <v>1.389679</v>
      </c>
      <c r="N38" s="1" t="n">
        <v>103.986591</v>
      </c>
      <c r="O38" s="11" t="s">
        <v>60</v>
      </c>
      <c r="P38" s="1" t="s">
        <v>61</v>
      </c>
      <c r="R38" s="1" t="s">
        <v>62</v>
      </c>
      <c r="AH38" s="1" t="s">
        <v>63</v>
      </c>
      <c r="AI38" s="1" t="s">
        <v>63</v>
      </c>
      <c r="AK38" s="1" t="s">
        <v>300</v>
      </c>
      <c r="AM38" s="12" t="n">
        <v>46311</v>
      </c>
      <c r="AT38" s="1" t="s">
        <v>66</v>
      </c>
      <c r="AU38" s="1" t="str">
        <f aca="false">IF(OR(AT38=TRUE(),AT38="TRUE"),"This sample listing is provided solely to demonstrate the directory interface. It does not represent a live declaration, verification, endorsement or participating establishment.","")</f>
        <v/>
      </c>
      <c r="AV38" s="1" t="str">
        <f aca="false">IF(OR(A38="",B38="",C38="",D38=""),"Missing required fields",IF(NOT(AND(ISNUMBER(M38),ISNUMBER(N38))),"Missing coordinates","Complete"))</f>
        <v>Complete</v>
      </c>
      <c r="AW38" s="1" t="str">
        <f aca="false">IF(AND(ISNUMBER(M38),ISNUMBER(N38)),"Ready","Coordinates required")</f>
        <v>Ready</v>
      </c>
      <c r="AX38" s="1" t="str">
        <f aca="false">IF(OR(AT38=TRUE(),AT38="TRUE"),"Demo record",IF(A38="","Missing ID",IF(B38="","Missing name",IF(NOT(AND(ISNUMBER(M38),ISNUMBER(N38))),"Coordinates required","Ready for publication"))))</f>
        <v>Ready for publication</v>
      </c>
    </row>
    <row r="39" customFormat="false" ht="14.25" hidden="false" customHeight="true" outlineLevel="0" collapsed="false">
      <c r="A39" s="1" t="s">
        <v>301</v>
      </c>
      <c r="B39" s="1" t="s">
        <v>302</v>
      </c>
      <c r="C39" s="11" t="s">
        <v>52</v>
      </c>
      <c r="D39" s="1" t="s">
        <v>77</v>
      </c>
      <c r="E39" s="1" t="s">
        <v>78</v>
      </c>
      <c r="F39" s="1" t="str">
        <f aca="false">IF(C39="Singapore",IF(LEN(TEXT(E39,"000000"))=6,LEFT(TEXT(E39,"000000"),2),""),"")</f>
        <v>51</v>
      </c>
      <c r="H39" s="1" t="s">
        <v>70</v>
      </c>
      <c r="I39" s="1" t="s">
        <v>71</v>
      </c>
      <c r="J39" s="1" t="s">
        <v>72</v>
      </c>
      <c r="K39" s="11"/>
      <c r="L39" s="11" t="s">
        <v>112</v>
      </c>
      <c r="M39" s="1" t="n">
        <v>1.374335</v>
      </c>
      <c r="N39" s="1" t="n">
        <v>103.948486</v>
      </c>
      <c r="O39" s="11" t="s">
        <v>60</v>
      </c>
      <c r="P39" s="1" t="s">
        <v>113</v>
      </c>
      <c r="R39" s="1" t="s">
        <v>62</v>
      </c>
      <c r="AH39" s="1" t="s">
        <v>63</v>
      </c>
      <c r="AI39" s="1" t="s">
        <v>63</v>
      </c>
      <c r="AK39" s="1" t="s">
        <v>79</v>
      </c>
      <c r="AM39" s="12" t="n">
        <v>46311</v>
      </c>
      <c r="AN39" s="1" t="s">
        <v>303</v>
      </c>
      <c r="AT39" s="1" t="s">
        <v>66</v>
      </c>
      <c r="AU39" s="1" t="str">
        <f aca="false">IF(OR(AT39=TRUE(),AT39="TRUE"),"This sample listing is provided solely to demonstrate the directory interface. It does not represent a live declaration, verification, endorsement or participating establishment.","")</f>
        <v/>
      </c>
      <c r="AV39" s="1" t="str">
        <f aca="false">IF(OR(A39="",B39="",C39="",D39=""),"Missing required fields",IF(NOT(AND(ISNUMBER(M39),ISNUMBER(N39))),"Missing coordinates","Complete"))</f>
        <v>Complete</v>
      </c>
      <c r="AW39" s="1" t="str">
        <f aca="false">IF(AND(ISNUMBER(M39),ISNUMBER(N39)),"Ready","Coordinates required")</f>
        <v>Ready</v>
      </c>
      <c r="AX39" s="1" t="str">
        <f aca="false">IF(OR(AT39=TRUE(),AT39="TRUE"),"Demo record",IF(A39="","Missing ID",IF(B39="","Missing name",IF(NOT(AND(ISNUMBER(M39),ISNUMBER(N39))),"Coordinates required","Ready for publication"))))</f>
        <v>Ready for publication</v>
      </c>
    </row>
    <row r="40" customFormat="false" ht="14.25" hidden="false" customHeight="true" outlineLevel="0" collapsed="false">
      <c r="A40" s="1" t="s">
        <v>304</v>
      </c>
      <c r="B40" s="1" t="s">
        <v>305</v>
      </c>
      <c r="C40" s="11" t="s">
        <v>52</v>
      </c>
      <c r="D40" s="1" t="s">
        <v>306</v>
      </c>
      <c r="E40" s="1" t="s">
        <v>307</v>
      </c>
      <c r="F40" s="1" t="str">
        <f aca="false">IF(C40="Singapore",IF(LEN(TEXT(E40,"000000"))=6,LEFT(TEXT(E40,"000000"),2),""),"")</f>
        <v>67</v>
      </c>
      <c r="H40" s="1" t="s">
        <v>87</v>
      </c>
      <c r="I40" s="1" t="s">
        <v>88</v>
      </c>
      <c r="J40" s="1" t="s">
        <v>89</v>
      </c>
      <c r="K40" s="11"/>
      <c r="L40" s="11" t="s">
        <v>112</v>
      </c>
      <c r="M40" s="1" t="n">
        <v>1.387835</v>
      </c>
      <c r="N40" s="1" t="n">
        <v>103.762689</v>
      </c>
      <c r="O40" s="11" t="s">
        <v>60</v>
      </c>
      <c r="P40" s="1" t="s">
        <v>113</v>
      </c>
      <c r="R40" s="1" t="s">
        <v>62</v>
      </c>
      <c r="AH40" s="1" t="s">
        <v>63</v>
      </c>
      <c r="AI40" s="1" t="s">
        <v>63</v>
      </c>
      <c r="AK40" s="1" t="s">
        <v>308</v>
      </c>
      <c r="AM40" s="12" t="n">
        <v>46311</v>
      </c>
      <c r="AT40" s="1" t="s">
        <v>66</v>
      </c>
      <c r="AU40" s="1" t="str">
        <f aca="false">IF(OR(AT40=TRUE(),AT40="TRUE"),"This sample listing is provided solely to demonstrate the directory interface. It does not represent a live declaration, verification, endorsement or participating establishment.","")</f>
        <v/>
      </c>
      <c r="AV40" s="1" t="str">
        <f aca="false">IF(OR(A40="",B40="",C40="",D40=""),"Missing required fields",IF(NOT(AND(ISNUMBER(M40),ISNUMBER(N40))),"Missing coordinates","Complete"))</f>
        <v>Complete</v>
      </c>
      <c r="AW40" s="1" t="str">
        <f aca="false">IF(AND(ISNUMBER(M40),ISNUMBER(N40)),"Ready","Coordinates required")</f>
        <v>Ready</v>
      </c>
      <c r="AX40" s="1" t="str">
        <f aca="false">IF(OR(AT40=TRUE(),AT40="TRUE"),"Demo record",IF(A40="","Missing ID",IF(B40="","Missing name",IF(NOT(AND(ISNUMBER(M40),ISNUMBER(N40))),"Coordinates required","Ready for publication"))))</f>
        <v>Ready for publication</v>
      </c>
    </row>
    <row r="41" customFormat="false" ht="14.25" hidden="false" customHeight="true" outlineLevel="0" collapsed="false">
      <c r="A41" s="1" t="s">
        <v>309</v>
      </c>
      <c r="B41" s="1" t="s">
        <v>310</v>
      </c>
      <c r="C41" s="11" t="s">
        <v>52</v>
      </c>
      <c r="D41" s="1" t="s">
        <v>311</v>
      </c>
      <c r="E41" s="1" t="s">
        <v>312</v>
      </c>
      <c r="F41" s="1" t="str">
        <f aca="false">IF(C41="Singapore",IF(LEN(TEXT(E41,"000000"))=6,LEFT(TEXT(E41,"000000"),2),""),"")</f>
        <v>57</v>
      </c>
      <c r="H41" s="1" t="s">
        <v>313</v>
      </c>
      <c r="I41" s="1" t="s">
        <v>314</v>
      </c>
      <c r="J41" s="1" t="s">
        <v>315</v>
      </c>
      <c r="K41" s="11" t="s">
        <v>102</v>
      </c>
      <c r="L41" s="11" t="s">
        <v>59</v>
      </c>
      <c r="M41" s="1" t="n">
        <v>1.377172</v>
      </c>
      <c r="N41" s="1" t="n">
        <v>103.828057</v>
      </c>
      <c r="O41" s="11" t="s">
        <v>60</v>
      </c>
      <c r="P41" s="1" t="s">
        <v>73</v>
      </c>
      <c r="R41" s="1" t="s">
        <v>62</v>
      </c>
      <c r="AH41" s="1" t="s">
        <v>63</v>
      </c>
      <c r="AI41" s="1" t="s">
        <v>63</v>
      </c>
      <c r="AK41" s="1" t="s">
        <v>316</v>
      </c>
      <c r="AM41" s="12" t="n">
        <v>46311</v>
      </c>
      <c r="AN41" s="1" t="s">
        <v>317</v>
      </c>
      <c r="AT41" s="1" t="s">
        <v>66</v>
      </c>
      <c r="AU41" s="1" t="str">
        <f aca="false">IF(OR(AT41=TRUE(),AT41="TRUE"),"This sample listing is provided solely to demonstrate the directory interface. It does not represent a live declaration, verification, endorsement or participating establishment.","")</f>
        <v/>
      </c>
      <c r="AV41" s="1" t="str">
        <f aca="false">IF(OR(A41="",B41="",C41="",D41=""),"Missing required fields",IF(NOT(AND(ISNUMBER(M41),ISNUMBER(N41))),"Missing coordinates","Complete"))</f>
        <v>Complete</v>
      </c>
      <c r="AW41" s="1" t="str">
        <f aca="false">IF(AND(ISNUMBER(M41),ISNUMBER(N41)),"Ready","Coordinates required")</f>
        <v>Ready</v>
      </c>
      <c r="AX41" s="1" t="str">
        <f aca="false">IF(OR(AT41=TRUE(),AT41="TRUE"),"Demo record",IF(A41="","Missing ID",IF(B41="","Missing name",IF(NOT(AND(ISNUMBER(M41),ISNUMBER(N41))),"Coordinates required","Ready for publication"))))</f>
        <v>Ready for publication</v>
      </c>
    </row>
    <row r="42" customFormat="false" ht="14.25" hidden="false" customHeight="true" outlineLevel="0" collapsed="false">
      <c r="A42" s="1" t="s">
        <v>318</v>
      </c>
      <c r="B42" s="1" t="s">
        <v>310</v>
      </c>
      <c r="C42" s="11" t="s">
        <v>52</v>
      </c>
      <c r="D42" s="1" t="s">
        <v>319</v>
      </c>
      <c r="E42" s="1" t="s">
        <v>320</v>
      </c>
      <c r="F42" s="1" t="str">
        <f aca="false">IF(C42="Singapore",IF(LEN(TEXT(E42,"000000"))=6,LEFT(TEXT(E42,"000000"),2),""),"")</f>
        <v>34</v>
      </c>
      <c r="H42" s="1" t="s">
        <v>321</v>
      </c>
      <c r="I42" s="1" t="s">
        <v>187</v>
      </c>
      <c r="J42" s="1" t="s">
        <v>188</v>
      </c>
      <c r="K42" s="11" t="s">
        <v>102</v>
      </c>
      <c r="L42" s="11" t="s">
        <v>59</v>
      </c>
      <c r="M42" s="1" t="n">
        <v>1.330338</v>
      </c>
      <c r="N42" s="1" t="n">
        <v>103.875467</v>
      </c>
      <c r="O42" s="11" t="s">
        <v>60</v>
      </c>
      <c r="P42" s="1" t="s">
        <v>73</v>
      </c>
      <c r="R42" s="1" t="s">
        <v>62</v>
      </c>
      <c r="AH42" s="1" t="s">
        <v>63</v>
      </c>
      <c r="AI42" s="1" t="s">
        <v>63</v>
      </c>
      <c r="AK42" s="1" t="s">
        <v>322</v>
      </c>
      <c r="AM42" s="12" t="n">
        <v>46311</v>
      </c>
      <c r="AN42" s="1" t="s">
        <v>323</v>
      </c>
      <c r="AT42" s="1" t="s">
        <v>66</v>
      </c>
      <c r="AU42" s="1" t="str">
        <f aca="false">IF(OR(AT42=TRUE(),AT42="TRUE"),"This sample listing is provided solely to demonstrate the directory interface. It does not represent a live declaration, verification, endorsement or participating establishment.","")</f>
        <v/>
      </c>
      <c r="AV42" s="1" t="str">
        <f aca="false">IF(OR(A42="",B42="",C42="",D42=""),"Missing required fields",IF(NOT(AND(ISNUMBER(M42),ISNUMBER(N42))),"Missing coordinates","Complete"))</f>
        <v>Complete</v>
      </c>
      <c r="AW42" s="1" t="str">
        <f aca="false">IF(AND(ISNUMBER(M42),ISNUMBER(N42)),"Ready","Coordinates required")</f>
        <v>Ready</v>
      </c>
      <c r="AX42" s="1" t="str">
        <f aca="false">IF(OR(AT42=TRUE(),AT42="TRUE"),"Demo record",IF(A42="","Missing ID",IF(B42="","Missing name",IF(NOT(AND(ISNUMBER(M42),ISNUMBER(N42))),"Coordinates required","Ready for publication"))))</f>
        <v>Ready for publication</v>
      </c>
    </row>
    <row r="43" customFormat="false" ht="14.25" hidden="false" customHeight="true" outlineLevel="0" collapsed="false">
      <c r="A43" s="1" t="s">
        <v>324</v>
      </c>
      <c r="B43" s="1" t="s">
        <v>325</v>
      </c>
      <c r="C43" s="11" t="s">
        <v>52</v>
      </c>
      <c r="D43" s="1" t="s">
        <v>326</v>
      </c>
      <c r="E43" s="1" t="s">
        <v>327</v>
      </c>
      <c r="F43" s="1" t="str">
        <f aca="false">IF(C43="Singapore",IF(LEN(TEXT(E43,"000000"))=6,LEFT(TEXT(E43,"000000"),2),""),"")</f>
        <v>48</v>
      </c>
      <c r="H43" s="1" t="s">
        <v>156</v>
      </c>
      <c r="I43" s="1" t="s">
        <v>157</v>
      </c>
      <c r="J43" s="1" t="s">
        <v>158</v>
      </c>
      <c r="K43" s="11" t="s">
        <v>328</v>
      </c>
      <c r="L43" s="11" t="s">
        <v>59</v>
      </c>
      <c r="M43" s="1" t="n">
        <v>1.340894</v>
      </c>
      <c r="N43" s="1" t="n">
        <v>103.961965</v>
      </c>
      <c r="O43" s="11" t="s">
        <v>60</v>
      </c>
      <c r="P43" s="1" t="s">
        <v>73</v>
      </c>
      <c r="R43" s="1" t="s">
        <v>62</v>
      </c>
      <c r="AH43" s="1" t="s">
        <v>63</v>
      </c>
      <c r="AI43" s="1" t="s">
        <v>63</v>
      </c>
      <c r="AK43" s="1" t="s">
        <v>329</v>
      </c>
      <c r="AM43" s="12" t="n">
        <v>46311</v>
      </c>
      <c r="AN43" s="1" t="s">
        <v>330</v>
      </c>
      <c r="AT43" s="1" t="s">
        <v>66</v>
      </c>
      <c r="AU43" s="1" t="str">
        <f aca="false">IF(OR(AT43=TRUE(),AT43="TRUE"),"This sample listing is provided solely to demonstrate the directory interface. It does not represent a live declaration, verification, endorsement or participating establishment.","")</f>
        <v/>
      </c>
      <c r="AV43" s="1" t="str">
        <f aca="false">IF(OR(A43="",B43="",C43="",D43=""),"Missing required fields",IF(NOT(AND(ISNUMBER(M43),ISNUMBER(N43))),"Missing coordinates","Complete"))</f>
        <v>Complete</v>
      </c>
      <c r="AW43" s="1" t="str">
        <f aca="false">IF(AND(ISNUMBER(M43),ISNUMBER(N43)),"Ready","Coordinates required")</f>
        <v>Ready</v>
      </c>
      <c r="AX43" s="1" t="str">
        <f aca="false">IF(OR(AT43=TRUE(),AT43="TRUE"),"Demo record",IF(A43="","Missing ID",IF(B43="","Missing name",IF(NOT(AND(ISNUMBER(M43),ISNUMBER(N43))),"Coordinates required","Ready for publication"))))</f>
        <v>Ready for publication</v>
      </c>
    </row>
    <row r="44" customFormat="false" ht="14.25" hidden="false" customHeight="true" outlineLevel="0" collapsed="false">
      <c r="A44" s="1" t="s">
        <v>331</v>
      </c>
      <c r="B44" s="1" t="s">
        <v>332</v>
      </c>
      <c r="C44" s="11" t="s">
        <v>52</v>
      </c>
      <c r="D44" s="1" t="s">
        <v>333</v>
      </c>
      <c r="F44" s="1" t="str">
        <f aca="false">IF(C44="Singapore",IF(LEN(TEXT(E44,"000000"))=6,LEFT(TEXT(E44,"000000"),2),""),"")</f>
        <v>00</v>
      </c>
      <c r="K44" s="11"/>
      <c r="L44" s="11" t="s">
        <v>112</v>
      </c>
      <c r="M44" s="1" t="n">
        <v>1.389414</v>
      </c>
      <c r="N44" s="1" t="n">
        <v>103.988169</v>
      </c>
      <c r="O44" s="11" t="s">
        <v>60</v>
      </c>
      <c r="P44" s="1" t="s">
        <v>113</v>
      </c>
      <c r="R44" s="1" t="s">
        <v>62</v>
      </c>
      <c r="AH44" s="1" t="s">
        <v>63</v>
      </c>
      <c r="AI44" s="1" t="s">
        <v>63</v>
      </c>
      <c r="AK44" s="1" t="s">
        <v>114</v>
      </c>
      <c r="AM44" s="12" t="n">
        <v>46311</v>
      </c>
      <c r="AT44" s="1" t="s">
        <v>66</v>
      </c>
      <c r="AU44" s="1" t="str">
        <f aca="false">IF(OR(AT44=TRUE(),AT44="TRUE"),"This sample listing is provided solely to demonstrate the directory interface. It does not represent a live declaration, verification, endorsement or participating establishment.","")</f>
        <v/>
      </c>
      <c r="AV44" s="1" t="str">
        <f aca="false">IF(OR(A44="",B44="",C44="",D44=""),"Missing required fields",IF(NOT(AND(ISNUMBER(M44),ISNUMBER(N44))),"Missing coordinates","Complete"))</f>
        <v>Complete</v>
      </c>
      <c r="AW44" s="1" t="str">
        <f aca="false">IF(AND(ISNUMBER(M44),ISNUMBER(N44)),"Ready","Coordinates required")</f>
        <v>Ready</v>
      </c>
      <c r="AX44" s="1" t="str">
        <f aca="false">IF(OR(AT44=TRUE(),AT44="TRUE"),"Demo record",IF(A44="","Missing ID",IF(B44="","Missing name",IF(NOT(AND(ISNUMBER(M44),ISNUMBER(N44))),"Coordinates required","Ready for publication"))))</f>
        <v>Ready for publication</v>
      </c>
    </row>
    <row r="45" customFormat="false" ht="14.25" hidden="false" customHeight="true" outlineLevel="0" collapsed="false">
      <c r="A45" s="1" t="s">
        <v>334</v>
      </c>
      <c r="B45" s="1" t="s">
        <v>335</v>
      </c>
      <c r="C45" s="11" t="s">
        <v>52</v>
      </c>
      <c r="D45" s="1" t="s">
        <v>336</v>
      </c>
      <c r="E45" s="1" t="s">
        <v>337</v>
      </c>
      <c r="F45" s="1" t="str">
        <f aca="false">IF(C45="Singapore",IF(LEN(TEXT(E45,"000000"))=6,LEFT(TEXT(E45,"000000"),2),""),"")</f>
        <v>20</v>
      </c>
      <c r="H45" s="1" t="s">
        <v>338</v>
      </c>
      <c r="I45" s="1" t="s">
        <v>339</v>
      </c>
      <c r="J45" s="1" t="s">
        <v>340</v>
      </c>
      <c r="K45" s="11" t="s">
        <v>341</v>
      </c>
      <c r="L45" s="11" t="s">
        <v>59</v>
      </c>
      <c r="M45" s="1" t="n">
        <v>1.310673</v>
      </c>
      <c r="N45" s="1" t="n">
        <v>103.862196</v>
      </c>
      <c r="O45" s="11" t="s">
        <v>60</v>
      </c>
      <c r="P45" s="1" t="s">
        <v>73</v>
      </c>
      <c r="R45" s="1" t="s">
        <v>62</v>
      </c>
      <c r="AH45" s="1" t="s">
        <v>63</v>
      </c>
      <c r="AI45" s="1" t="s">
        <v>63</v>
      </c>
      <c r="AK45" s="1" t="s">
        <v>342</v>
      </c>
      <c r="AM45" s="12" t="n">
        <v>46311</v>
      </c>
      <c r="AN45" s="1" t="s">
        <v>343</v>
      </c>
      <c r="AT45" s="1" t="s">
        <v>66</v>
      </c>
      <c r="AU45" s="1" t="str">
        <f aca="false">IF(OR(AT45=TRUE(),AT45="TRUE"),"This sample listing is provided solely to demonstrate the directory interface. It does not represent a live declaration, verification, endorsement or participating establishment.","")</f>
        <v/>
      </c>
      <c r="AV45" s="1" t="str">
        <f aca="false">IF(OR(A45="",B45="",C45="",D45=""),"Missing required fields",IF(NOT(AND(ISNUMBER(M45),ISNUMBER(N45))),"Missing coordinates","Complete"))</f>
        <v>Complete</v>
      </c>
      <c r="AW45" s="1" t="str">
        <f aca="false">IF(AND(ISNUMBER(M45),ISNUMBER(N45)),"Ready","Coordinates required")</f>
        <v>Ready</v>
      </c>
      <c r="AX45" s="1" t="str">
        <f aca="false">IF(OR(AT45=TRUE(),AT45="TRUE"),"Demo record",IF(A45="","Missing ID",IF(B45="","Missing name",IF(NOT(AND(ISNUMBER(M45),ISNUMBER(N45))),"Coordinates required","Ready for publication"))))</f>
        <v>Ready for publication</v>
      </c>
    </row>
    <row r="46" customFormat="false" ht="14.25" hidden="false" customHeight="true" outlineLevel="0" collapsed="false">
      <c r="A46" s="1" t="s">
        <v>344</v>
      </c>
      <c r="B46" s="1" t="s">
        <v>345</v>
      </c>
      <c r="C46" s="11" t="s">
        <v>52</v>
      </c>
      <c r="D46" s="1" t="s">
        <v>77</v>
      </c>
      <c r="E46" s="1" t="s">
        <v>78</v>
      </c>
      <c r="F46" s="1" t="str">
        <f aca="false">IF(C46="Singapore",IF(LEN(TEXT(E46,"000000"))=6,LEFT(TEXT(E46,"000000"),2),""),"")</f>
        <v>51</v>
      </c>
      <c r="H46" s="1" t="s">
        <v>70</v>
      </c>
      <c r="I46" s="1" t="s">
        <v>71</v>
      </c>
      <c r="J46" s="1" t="s">
        <v>72</v>
      </c>
      <c r="K46" s="11" t="s">
        <v>123</v>
      </c>
      <c r="L46" s="11" t="s">
        <v>59</v>
      </c>
      <c r="M46" s="1" t="n">
        <v>1.373483</v>
      </c>
      <c r="N46" s="1" t="n">
        <v>103.948558</v>
      </c>
      <c r="O46" s="11" t="s">
        <v>60</v>
      </c>
      <c r="P46" s="1" t="s">
        <v>73</v>
      </c>
      <c r="R46" s="1" t="s">
        <v>62</v>
      </c>
      <c r="AH46" s="1" t="s">
        <v>63</v>
      </c>
      <c r="AI46" s="1" t="s">
        <v>63</v>
      </c>
      <c r="AK46" s="1" t="s">
        <v>79</v>
      </c>
      <c r="AM46" s="12" t="n">
        <v>46311</v>
      </c>
      <c r="AN46" s="1" t="s">
        <v>346</v>
      </c>
      <c r="AT46" s="1" t="s">
        <v>66</v>
      </c>
      <c r="AU46" s="1" t="str">
        <f aca="false">IF(OR(AT46=TRUE(),AT46="TRUE"),"This sample listing is provided solely to demonstrate the directory interface. It does not represent a live declaration, verification, endorsement or participating establishment.","")</f>
        <v/>
      </c>
      <c r="AV46" s="1" t="str">
        <f aca="false">IF(OR(A46="",B46="",C46="",D46=""),"Missing required fields",IF(NOT(AND(ISNUMBER(M46),ISNUMBER(N46))),"Missing coordinates","Complete"))</f>
        <v>Complete</v>
      </c>
      <c r="AW46" s="1" t="str">
        <f aca="false">IF(AND(ISNUMBER(M46),ISNUMBER(N46)),"Ready","Coordinates required")</f>
        <v>Ready</v>
      </c>
      <c r="AX46" s="1" t="str">
        <f aca="false">IF(OR(AT46=TRUE(),AT46="TRUE"),"Demo record",IF(A46="","Missing ID",IF(B46="","Missing name",IF(NOT(AND(ISNUMBER(M46),ISNUMBER(N46))),"Coordinates required","Ready for publication"))))</f>
        <v>Ready for publication</v>
      </c>
    </row>
    <row r="47" customFormat="false" ht="14.25" hidden="false" customHeight="true" outlineLevel="0" collapsed="false">
      <c r="A47" s="1" t="s">
        <v>347</v>
      </c>
      <c r="B47" s="1" t="s">
        <v>348</v>
      </c>
      <c r="C47" s="11" t="s">
        <v>52</v>
      </c>
      <c r="D47" s="1" t="s">
        <v>349</v>
      </c>
      <c r="E47" s="1" t="s">
        <v>350</v>
      </c>
      <c r="F47" s="1" t="str">
        <f aca="false">IF(C47="Singapore",IF(LEN(TEXT(E47,"000000"))=6,LEFT(TEXT(E47,"000000"),2),""),"")</f>
        <v>52</v>
      </c>
      <c r="H47" s="1" t="s">
        <v>70</v>
      </c>
      <c r="I47" s="1" t="s">
        <v>71</v>
      </c>
      <c r="J47" s="1" t="s">
        <v>72</v>
      </c>
      <c r="K47" s="11" t="s">
        <v>328</v>
      </c>
      <c r="L47" s="11" t="s">
        <v>59</v>
      </c>
      <c r="M47" s="1" t="n">
        <v>1.352229</v>
      </c>
      <c r="N47" s="1" t="n">
        <v>103.953406</v>
      </c>
      <c r="O47" s="11" t="s">
        <v>60</v>
      </c>
      <c r="P47" s="1" t="s">
        <v>73</v>
      </c>
      <c r="R47" s="1" t="s">
        <v>62</v>
      </c>
      <c r="AH47" s="1" t="s">
        <v>63</v>
      </c>
      <c r="AI47" s="1" t="s">
        <v>63</v>
      </c>
      <c r="AK47" s="1" t="s">
        <v>130</v>
      </c>
      <c r="AM47" s="12" t="n">
        <v>46311</v>
      </c>
      <c r="AN47" s="1" t="s">
        <v>351</v>
      </c>
      <c r="AT47" s="1" t="s">
        <v>66</v>
      </c>
      <c r="AU47" s="1" t="str">
        <f aca="false">IF(OR(AT47=TRUE(),AT47="TRUE"),"This sample listing is provided solely to demonstrate the directory interface. It does not represent a live declaration, verification, endorsement or participating establishment.","")</f>
        <v/>
      </c>
      <c r="AV47" s="1" t="str">
        <f aca="false">IF(OR(A47="",B47="",C47="",D47=""),"Missing required fields",IF(NOT(AND(ISNUMBER(M47),ISNUMBER(N47))),"Missing coordinates","Complete"))</f>
        <v>Complete</v>
      </c>
      <c r="AW47" s="1" t="str">
        <f aca="false">IF(AND(ISNUMBER(M47),ISNUMBER(N47)),"Ready","Coordinates required")</f>
        <v>Ready</v>
      </c>
      <c r="AX47" s="1" t="str">
        <f aca="false">IF(OR(AT47=TRUE(),AT47="TRUE"),"Demo record",IF(A47="","Missing ID",IF(B47="","Missing name",IF(NOT(AND(ISNUMBER(M47),ISNUMBER(N47))),"Coordinates required","Ready for publication"))))</f>
        <v>Ready for publication</v>
      </c>
    </row>
    <row r="48" customFormat="false" ht="14.25" hidden="false" customHeight="true" outlineLevel="0" collapsed="false">
      <c r="A48" s="1" t="s">
        <v>352</v>
      </c>
      <c r="B48" s="1" t="s">
        <v>353</v>
      </c>
      <c r="C48" s="11" t="s">
        <v>52</v>
      </c>
      <c r="D48" s="1" t="s">
        <v>68</v>
      </c>
      <c r="E48" s="1" t="s">
        <v>69</v>
      </c>
      <c r="F48" s="1" t="str">
        <f aca="false">IF(C48="Singapore",IF(LEN(TEXT(E48,"000000"))=6,LEFT(TEXT(E48,"000000"),2),""),"")</f>
        <v>51</v>
      </c>
      <c r="H48" s="1" t="s">
        <v>70</v>
      </c>
      <c r="I48" s="1" t="s">
        <v>71</v>
      </c>
      <c r="J48" s="1" t="s">
        <v>72</v>
      </c>
      <c r="K48" s="11" t="s">
        <v>354</v>
      </c>
      <c r="L48" s="11" t="s">
        <v>59</v>
      </c>
      <c r="M48" s="1" t="n">
        <v>1.372336</v>
      </c>
      <c r="N48" s="1" t="n">
        <v>103.949902</v>
      </c>
      <c r="O48" s="11" t="s">
        <v>60</v>
      </c>
      <c r="P48" s="1" t="s">
        <v>73</v>
      </c>
      <c r="R48" s="1" t="s">
        <v>62</v>
      </c>
      <c r="AH48" s="1" t="s">
        <v>63</v>
      </c>
      <c r="AI48" s="1" t="s">
        <v>63</v>
      </c>
      <c r="AK48" s="1" t="s">
        <v>79</v>
      </c>
      <c r="AM48" s="12" t="n">
        <v>46311</v>
      </c>
      <c r="AT48" s="1" t="s">
        <v>66</v>
      </c>
      <c r="AU48" s="1" t="str">
        <f aca="false">IF(OR(AT48=TRUE(),AT48="TRUE"),"This sample listing is provided solely to demonstrate the directory interface. It does not represent a live declaration, verification, endorsement or participating establishment.","")</f>
        <v/>
      </c>
      <c r="AV48" s="1" t="str">
        <f aca="false">IF(OR(A48="",B48="",C48="",D48=""),"Missing required fields",IF(NOT(AND(ISNUMBER(M48),ISNUMBER(N48))),"Missing coordinates","Complete"))</f>
        <v>Complete</v>
      </c>
      <c r="AW48" s="1" t="str">
        <f aca="false">IF(AND(ISNUMBER(M48),ISNUMBER(N48)),"Ready","Coordinates required")</f>
        <v>Ready</v>
      </c>
      <c r="AX48" s="1" t="str">
        <f aca="false">IF(OR(AT48=TRUE(),AT48="TRUE"),"Demo record",IF(A48="","Missing ID",IF(B48="","Missing name",IF(NOT(AND(ISNUMBER(M48),ISNUMBER(N48))),"Coordinates required","Ready for publication"))))</f>
        <v>Ready for publication</v>
      </c>
    </row>
    <row r="49" customFormat="false" ht="14.25" hidden="false" customHeight="true" outlineLevel="0" collapsed="false">
      <c r="A49" s="1" t="s">
        <v>355</v>
      </c>
      <c r="B49" s="1" t="s">
        <v>356</v>
      </c>
      <c r="C49" s="11" t="s">
        <v>52</v>
      </c>
      <c r="D49" s="1" t="s">
        <v>357</v>
      </c>
      <c r="E49" s="1" t="s">
        <v>358</v>
      </c>
      <c r="F49" s="1" t="str">
        <f aca="false">IF(C49="Singapore",IF(LEN(TEXT(E49,"000000"))=6,LEFT(TEXT(E49,"000000"),2),""),"")</f>
        <v>18</v>
      </c>
      <c r="H49" s="1" t="s">
        <v>222</v>
      </c>
      <c r="I49" s="1" t="s">
        <v>223</v>
      </c>
      <c r="J49" s="1" t="s">
        <v>224</v>
      </c>
      <c r="K49" s="11" t="s">
        <v>90</v>
      </c>
      <c r="L49" s="11" t="s">
        <v>59</v>
      </c>
      <c r="M49" s="1" t="n">
        <v>1.301861</v>
      </c>
      <c r="N49" s="1" t="n">
        <v>103.85767</v>
      </c>
      <c r="O49" s="11" t="s">
        <v>60</v>
      </c>
      <c r="P49" s="1" t="s">
        <v>73</v>
      </c>
      <c r="R49" s="1" t="s">
        <v>62</v>
      </c>
      <c r="AH49" s="1" t="s">
        <v>63</v>
      </c>
      <c r="AI49" s="1" t="s">
        <v>63</v>
      </c>
      <c r="AK49" s="1" t="s">
        <v>359</v>
      </c>
      <c r="AM49" s="12" t="s">
        <v>65</v>
      </c>
      <c r="AT49" s="1" t="s">
        <v>66</v>
      </c>
      <c r="AU49" s="1" t="str">
        <f aca="false">IF(OR(AT49=TRUE(),AT49="TRUE"),"This sample listing is provided solely to demonstrate the directory interface. It does not represent a live declaration, verification, endorsement or participating establishment.","")</f>
        <v/>
      </c>
      <c r="AV49" s="1" t="str">
        <f aca="false">IF(OR(A49="",B49="",C49="",D49=""),"Missing required fields",IF(NOT(AND(ISNUMBER(M49),ISNUMBER(N49))),"Missing coordinates","Complete"))</f>
        <v>Complete</v>
      </c>
      <c r="AW49" s="1" t="str">
        <f aca="false">IF(AND(ISNUMBER(M49),ISNUMBER(N49)),"Ready","Coordinates required")</f>
        <v>Ready</v>
      </c>
      <c r="AX49" s="1" t="str">
        <f aca="false">IF(OR(AT49=TRUE(),AT49="TRUE"),"Demo record",IF(A49="","Missing ID",IF(B49="","Missing name",IF(NOT(AND(ISNUMBER(M49),ISNUMBER(N49))),"Coordinates required","Ready for publication"))))</f>
        <v>Ready for publication</v>
      </c>
    </row>
    <row r="50" customFormat="false" ht="14.25" hidden="false" customHeight="true" outlineLevel="0" collapsed="false">
      <c r="A50" s="1" t="s">
        <v>360</v>
      </c>
      <c r="B50" s="1" t="s">
        <v>361</v>
      </c>
      <c r="C50" s="11" t="s">
        <v>52</v>
      </c>
      <c r="D50" s="1" t="s">
        <v>362</v>
      </c>
      <c r="E50" s="1" t="s">
        <v>363</v>
      </c>
      <c r="F50" s="1" t="str">
        <f aca="false">IF(C50="Singapore",IF(LEN(TEXT(E50,"000000"))=6,LEFT(TEXT(E50,"000000"),2),""),"")</f>
        <v>12</v>
      </c>
      <c r="H50" s="1" t="s">
        <v>364</v>
      </c>
      <c r="I50" s="1" t="s">
        <v>365</v>
      </c>
      <c r="J50" s="1" t="s">
        <v>366</v>
      </c>
      <c r="K50" s="11"/>
      <c r="L50" s="11" t="s">
        <v>59</v>
      </c>
      <c r="M50" s="1" t="n">
        <v>1.314558</v>
      </c>
      <c r="N50" s="1" t="n">
        <v>103.770315</v>
      </c>
      <c r="O50" s="11" t="s">
        <v>60</v>
      </c>
      <c r="P50" s="1" t="s">
        <v>73</v>
      </c>
      <c r="R50" s="1" t="s">
        <v>62</v>
      </c>
      <c r="AH50" s="1" t="s">
        <v>63</v>
      </c>
      <c r="AI50" s="1" t="s">
        <v>63</v>
      </c>
      <c r="AK50" s="1" t="s">
        <v>367</v>
      </c>
      <c r="AM50" s="12" t="s">
        <v>65</v>
      </c>
      <c r="AT50" s="1" t="s">
        <v>66</v>
      </c>
      <c r="AU50" s="1" t="str">
        <f aca="false">IF(OR(AT50=TRUE(),AT50="TRUE"),"This sample listing is provided solely to demonstrate the directory interface. It does not represent a live declaration, verification, endorsement or participating establishment.","")</f>
        <v/>
      </c>
      <c r="AV50" s="1" t="str">
        <f aca="false">IF(OR(A50="",B50="",C50="",D50=""),"Missing required fields",IF(NOT(AND(ISNUMBER(M50),ISNUMBER(N50))),"Missing coordinates","Complete"))</f>
        <v>Complete</v>
      </c>
      <c r="AW50" s="1" t="str">
        <f aca="false">IF(AND(ISNUMBER(M50),ISNUMBER(N50)),"Ready","Coordinates required")</f>
        <v>Ready</v>
      </c>
      <c r="AX50" s="1" t="str">
        <f aca="false">IF(OR(AT50=TRUE(),AT50="TRUE"),"Demo record",IF(A50="","Missing ID",IF(B50="","Missing name",IF(NOT(AND(ISNUMBER(M50),ISNUMBER(N50))),"Coordinates required","Ready for publication"))))</f>
        <v>Ready for publication</v>
      </c>
    </row>
    <row r="51" customFormat="false" ht="14.25" hidden="false" customHeight="true" outlineLevel="0" collapsed="false">
      <c r="A51" s="1" t="s">
        <v>368</v>
      </c>
      <c r="B51" s="1" t="s">
        <v>369</v>
      </c>
      <c r="C51" s="11" t="s">
        <v>52</v>
      </c>
      <c r="D51" s="1" t="s">
        <v>370</v>
      </c>
      <c r="E51" s="1" t="s">
        <v>371</v>
      </c>
      <c r="F51" s="1" t="str">
        <f aca="false">IF(C51="Singapore",IF(LEN(TEXT(E51,"000000"))=6,LEFT(TEXT(E51,"000000"),2),""),"")</f>
        <v>65</v>
      </c>
      <c r="H51" s="1" t="s">
        <v>140</v>
      </c>
      <c r="I51" s="1" t="s">
        <v>88</v>
      </c>
      <c r="J51" s="1" t="s">
        <v>89</v>
      </c>
      <c r="K51" s="11"/>
      <c r="L51" s="11" t="s">
        <v>59</v>
      </c>
      <c r="M51" s="1" t="n">
        <v>1.35876</v>
      </c>
      <c r="N51" s="1" t="n">
        <v>103.751345</v>
      </c>
      <c r="O51" s="11" t="s">
        <v>60</v>
      </c>
      <c r="P51" s="1" t="s">
        <v>73</v>
      </c>
      <c r="R51" s="1" t="s">
        <v>62</v>
      </c>
      <c r="AH51" s="1" t="s">
        <v>63</v>
      </c>
      <c r="AI51" s="1" t="s">
        <v>63</v>
      </c>
      <c r="AK51" s="1" t="s">
        <v>372</v>
      </c>
      <c r="AM51" s="12" t="n">
        <v>46311</v>
      </c>
      <c r="AN51" s="1" t="s">
        <v>373</v>
      </c>
      <c r="AT51" s="1" t="s">
        <v>66</v>
      </c>
      <c r="AU51" s="1" t="str">
        <f aca="false">IF(OR(AT51=TRUE(),AT51="TRUE"),"This sample listing is provided solely to demonstrate the directory interface. It does not represent a live declaration, verification, endorsement or participating establishment.","")</f>
        <v/>
      </c>
      <c r="AV51" s="1" t="str">
        <f aca="false">IF(OR(A51="",B51="",C51="",D51=""),"Missing required fields",IF(NOT(AND(ISNUMBER(M51),ISNUMBER(N51))),"Missing coordinates","Complete"))</f>
        <v>Complete</v>
      </c>
      <c r="AW51" s="1" t="str">
        <f aca="false">IF(AND(ISNUMBER(M51),ISNUMBER(N51)),"Ready","Coordinates required")</f>
        <v>Ready</v>
      </c>
      <c r="AX51" s="1" t="str">
        <f aca="false">IF(OR(AT51=TRUE(),AT51="TRUE"),"Demo record",IF(A51="","Missing ID",IF(B51="","Missing name",IF(NOT(AND(ISNUMBER(M51),ISNUMBER(N51))),"Coordinates required","Ready for publication"))))</f>
        <v>Ready for publication</v>
      </c>
    </row>
    <row r="52" customFormat="false" ht="14.25" hidden="false" customHeight="true" outlineLevel="0" collapsed="false">
      <c r="A52" s="1" t="s">
        <v>374</v>
      </c>
      <c r="B52" s="1" t="s">
        <v>375</v>
      </c>
      <c r="C52" s="11" t="s">
        <v>52</v>
      </c>
      <c r="D52" s="1" t="s">
        <v>376</v>
      </c>
      <c r="E52" s="1" t="s">
        <v>377</v>
      </c>
      <c r="F52" s="1" t="str">
        <f aca="false">IF(C52="Singapore",IF(LEN(TEXT(E52,"000000"))=6,LEFT(TEXT(E52,"000000"),2),""),"")</f>
        <v>33</v>
      </c>
      <c r="H52" s="1" t="s">
        <v>55</v>
      </c>
      <c r="I52" s="1" t="s">
        <v>56</v>
      </c>
      <c r="J52" s="1" t="s">
        <v>57</v>
      </c>
      <c r="K52" s="11" t="s">
        <v>378</v>
      </c>
      <c r="L52" s="11" t="s">
        <v>112</v>
      </c>
      <c r="M52" s="1" t="n">
        <v>1.317115</v>
      </c>
      <c r="N52" s="1" t="n">
        <v>103.862501</v>
      </c>
      <c r="O52" s="11" t="s">
        <v>60</v>
      </c>
      <c r="P52" s="1" t="s">
        <v>113</v>
      </c>
      <c r="R52" s="1" t="s">
        <v>62</v>
      </c>
      <c r="AH52" s="1" t="s">
        <v>63</v>
      </c>
      <c r="AI52" s="1" t="s">
        <v>63</v>
      </c>
      <c r="AK52" s="1" t="s">
        <v>379</v>
      </c>
      <c r="AM52" s="12" t="n">
        <v>46311</v>
      </c>
      <c r="AN52" s="1" t="s">
        <v>380</v>
      </c>
      <c r="AT52" s="1" t="s">
        <v>66</v>
      </c>
      <c r="AU52" s="1" t="str">
        <f aca="false">IF(OR(AT52=TRUE(),AT52="TRUE"),"This sample listing is provided solely to demonstrate the directory interface. It does not represent a live declaration, verification, endorsement or participating establishment.","")</f>
        <v/>
      </c>
      <c r="AV52" s="1" t="str">
        <f aca="false">IF(OR(A52="",B52="",C52="",D52=""),"Missing required fields",IF(NOT(AND(ISNUMBER(M52),ISNUMBER(N52))),"Missing coordinates","Complete"))</f>
        <v>Complete</v>
      </c>
      <c r="AW52" s="1" t="str">
        <f aca="false">IF(AND(ISNUMBER(M52),ISNUMBER(N52)),"Ready","Coordinates required")</f>
        <v>Ready</v>
      </c>
      <c r="AX52" s="1" t="str">
        <f aca="false">IF(OR(AT52=TRUE(),AT52="TRUE"),"Demo record",IF(A52="","Missing ID",IF(B52="","Missing name",IF(NOT(AND(ISNUMBER(M52),ISNUMBER(N52))),"Coordinates required","Ready for publication"))))</f>
        <v>Ready for publication</v>
      </c>
    </row>
    <row r="53" customFormat="false" ht="14.25" hidden="false" customHeight="true" outlineLevel="0" collapsed="false">
      <c r="A53" s="1" t="s">
        <v>381</v>
      </c>
      <c r="B53" s="1" t="s">
        <v>382</v>
      </c>
      <c r="C53" s="11" t="s">
        <v>52</v>
      </c>
      <c r="D53" s="1" t="s">
        <v>383</v>
      </c>
      <c r="E53" s="1" t="s">
        <v>163</v>
      </c>
      <c r="F53" s="1" t="str">
        <f aca="false">IF(C53="Singapore",IF(LEN(TEXT(E53,"000000"))=6,LEFT(TEXT(E53,"000000"),2),""),"")</f>
        <v>50</v>
      </c>
      <c r="H53" s="1" t="s">
        <v>164</v>
      </c>
      <c r="I53" s="1" t="s">
        <v>165</v>
      </c>
      <c r="J53" s="1" t="s">
        <v>166</v>
      </c>
      <c r="K53" s="11" t="s">
        <v>167</v>
      </c>
      <c r="L53" s="11" t="s">
        <v>59</v>
      </c>
      <c r="M53" s="1" t="n">
        <v>1.388334</v>
      </c>
      <c r="N53" s="1" t="n">
        <v>103.987625</v>
      </c>
      <c r="O53" s="11" t="s">
        <v>60</v>
      </c>
      <c r="P53" s="1" t="s">
        <v>73</v>
      </c>
      <c r="R53" s="1" t="s">
        <v>62</v>
      </c>
      <c r="AH53" s="1" t="s">
        <v>63</v>
      </c>
      <c r="AI53" s="1" t="s">
        <v>63</v>
      </c>
      <c r="AK53" s="1" t="s">
        <v>168</v>
      </c>
      <c r="AM53" s="12" t="s">
        <v>65</v>
      </c>
      <c r="AT53" s="1" t="s">
        <v>66</v>
      </c>
      <c r="AU53" s="1" t="str">
        <f aca="false">IF(OR(AT53=TRUE(),AT53="TRUE"),"This sample listing is provided solely to demonstrate the directory interface. It does not represent a live declaration, verification, endorsement or participating establishment.","")</f>
        <v/>
      </c>
      <c r="AV53" s="1" t="str">
        <f aca="false">IF(OR(A53="",B53="",C53="",D53=""),"Missing required fields",IF(NOT(AND(ISNUMBER(M53),ISNUMBER(N53))),"Missing coordinates","Complete"))</f>
        <v>Complete</v>
      </c>
      <c r="AW53" s="1" t="str">
        <f aca="false">IF(AND(ISNUMBER(M53),ISNUMBER(N53)),"Ready","Coordinates required")</f>
        <v>Ready</v>
      </c>
      <c r="AX53" s="1" t="str">
        <f aca="false">IF(OR(AT53=TRUE(),AT53="TRUE"),"Demo record",IF(A53="","Missing ID",IF(B53="","Missing name",IF(NOT(AND(ISNUMBER(M53),ISNUMBER(N53))),"Coordinates required","Ready for publication"))))</f>
        <v>Ready for publication</v>
      </c>
    </row>
    <row r="54" customFormat="false" ht="14.25" hidden="false" customHeight="true" outlineLevel="0" collapsed="false">
      <c r="A54" s="1" t="s">
        <v>384</v>
      </c>
      <c r="B54" s="1" t="s">
        <v>385</v>
      </c>
      <c r="C54" s="11" t="s">
        <v>52</v>
      </c>
      <c r="D54" s="1" t="s">
        <v>386</v>
      </c>
      <c r="E54" s="1" t="s">
        <v>387</v>
      </c>
      <c r="F54" s="1" t="str">
        <f aca="false">IF(C54="Singapore",IF(LEN(TEXT(E54,"000000"))=6,LEFT(TEXT(E54,"000000"),2),""),"")</f>
        <v>10</v>
      </c>
      <c r="H54" s="1" t="s">
        <v>388</v>
      </c>
      <c r="I54" s="1" t="s">
        <v>389</v>
      </c>
      <c r="J54" s="1" t="s">
        <v>390</v>
      </c>
      <c r="K54" s="11" t="s">
        <v>391</v>
      </c>
      <c r="L54" s="11" t="s">
        <v>59</v>
      </c>
      <c r="M54" s="1" t="n">
        <v>1.271575</v>
      </c>
      <c r="N54" s="1" t="n">
        <v>103.809938</v>
      </c>
      <c r="O54" s="11" t="s">
        <v>60</v>
      </c>
      <c r="P54" s="1" t="s">
        <v>61</v>
      </c>
      <c r="R54" s="1" t="s">
        <v>62</v>
      </c>
      <c r="AH54" s="1" t="s">
        <v>63</v>
      </c>
      <c r="AI54" s="1" t="s">
        <v>63</v>
      </c>
      <c r="AK54" s="1" t="s">
        <v>392</v>
      </c>
      <c r="AM54" s="12" t="n">
        <v>46311</v>
      </c>
      <c r="AN54" s="1" t="s">
        <v>393</v>
      </c>
      <c r="AT54" s="1" t="s">
        <v>66</v>
      </c>
      <c r="AU54" s="1" t="str">
        <f aca="false">IF(OR(AT54=TRUE(),AT54="TRUE"),"This sample listing is provided solely to demonstrate the directory interface. It does not represent a live declaration, verification, endorsement or participating establishment.","")</f>
        <v/>
      </c>
      <c r="AV54" s="1" t="str">
        <f aca="false">IF(OR(A54="",B54="",C54="",D54=""),"Missing required fields",IF(NOT(AND(ISNUMBER(M54),ISNUMBER(N54))),"Missing coordinates","Complete"))</f>
        <v>Complete</v>
      </c>
      <c r="AW54" s="1" t="str">
        <f aca="false">IF(AND(ISNUMBER(M54),ISNUMBER(N54)),"Ready","Coordinates required")</f>
        <v>Ready</v>
      </c>
      <c r="AX54" s="1" t="str">
        <f aca="false">IF(OR(AT54=TRUE(),AT54="TRUE"),"Demo record",IF(A54="","Missing ID",IF(B54="","Missing name",IF(NOT(AND(ISNUMBER(M54),ISNUMBER(N54))),"Coordinates required","Ready for publication"))))</f>
        <v>Ready for publication</v>
      </c>
    </row>
    <row r="55" customFormat="false" ht="14.25" hidden="false" customHeight="true" outlineLevel="0" collapsed="false">
      <c r="A55" s="1" t="s">
        <v>394</v>
      </c>
      <c r="B55" s="1" t="s">
        <v>385</v>
      </c>
      <c r="C55" s="11" t="s">
        <v>52</v>
      </c>
      <c r="D55" s="1" t="s">
        <v>395</v>
      </c>
      <c r="E55" s="1" t="s">
        <v>396</v>
      </c>
      <c r="F55" s="1" t="str">
        <f aca="false">IF(C55="Singapore",IF(LEN(TEXT(E55,"000000"))=6,LEFT(TEXT(E55,"000000"),2),""),"")</f>
        <v>34</v>
      </c>
      <c r="H55" s="1" t="s">
        <v>321</v>
      </c>
      <c r="I55" s="1" t="s">
        <v>187</v>
      </c>
      <c r="J55" s="1" t="s">
        <v>188</v>
      </c>
      <c r="K55" s="11" t="s">
        <v>391</v>
      </c>
      <c r="L55" s="11" t="s">
        <v>59</v>
      </c>
      <c r="M55" s="1" t="n">
        <v>1.328924</v>
      </c>
      <c r="N55" s="1" t="n">
        <v>103.869416</v>
      </c>
      <c r="O55" s="11" t="s">
        <v>60</v>
      </c>
      <c r="P55" s="1" t="s">
        <v>73</v>
      </c>
      <c r="R55" s="1" t="s">
        <v>62</v>
      </c>
      <c r="AH55" s="1" t="s">
        <v>63</v>
      </c>
      <c r="AI55" s="1" t="s">
        <v>63</v>
      </c>
      <c r="AK55" s="1" t="s">
        <v>189</v>
      </c>
      <c r="AM55" s="12" t="n">
        <v>46311</v>
      </c>
      <c r="AN55" s="1" t="s">
        <v>393</v>
      </c>
      <c r="AT55" s="1" t="s">
        <v>66</v>
      </c>
      <c r="AU55" s="1" t="str">
        <f aca="false">IF(OR(AT55=TRUE(),AT55="TRUE"),"This sample listing is provided solely to demonstrate the directory interface. It does not represent a live declaration, verification, endorsement or participating establishment.","")</f>
        <v/>
      </c>
      <c r="AV55" s="1" t="str">
        <f aca="false">IF(OR(A55="",B55="",C55="",D55=""),"Missing required fields",IF(NOT(AND(ISNUMBER(M55),ISNUMBER(N55))),"Missing coordinates","Complete"))</f>
        <v>Complete</v>
      </c>
      <c r="AW55" s="1" t="str">
        <f aca="false">IF(AND(ISNUMBER(M55),ISNUMBER(N55)),"Ready","Coordinates required")</f>
        <v>Ready</v>
      </c>
      <c r="AX55" s="1" t="str">
        <f aca="false">IF(OR(AT55=TRUE(),AT55="TRUE"),"Demo record",IF(A55="","Missing ID",IF(B55="","Missing name",IF(NOT(AND(ISNUMBER(M55),ISNUMBER(N55))),"Coordinates required","Ready for publication"))))</f>
        <v>Ready for publication</v>
      </c>
    </row>
    <row r="56" customFormat="false" ht="14.25" hidden="false" customHeight="true" outlineLevel="0" collapsed="false">
      <c r="A56" s="1" t="s">
        <v>397</v>
      </c>
      <c r="B56" s="1" t="s">
        <v>398</v>
      </c>
      <c r="C56" s="11" t="s">
        <v>52</v>
      </c>
      <c r="D56" s="1" t="s">
        <v>68</v>
      </c>
      <c r="E56" s="1" t="s">
        <v>69</v>
      </c>
      <c r="F56" s="1" t="str">
        <f aca="false">IF(C56="Singapore",IF(LEN(TEXT(E56,"000000"))=6,LEFT(TEXT(E56,"000000"),2),""),"")</f>
        <v>51</v>
      </c>
      <c r="H56" s="1" t="s">
        <v>70</v>
      </c>
      <c r="I56" s="1" t="s">
        <v>71</v>
      </c>
      <c r="J56" s="1" t="s">
        <v>72</v>
      </c>
      <c r="K56" s="11" t="s">
        <v>399</v>
      </c>
      <c r="L56" s="11" t="s">
        <v>59</v>
      </c>
      <c r="M56" s="1" t="n">
        <v>1.372679</v>
      </c>
      <c r="N56" s="1" t="n">
        <v>103.949536</v>
      </c>
      <c r="O56" s="11" t="s">
        <v>60</v>
      </c>
      <c r="P56" s="1" t="s">
        <v>73</v>
      </c>
      <c r="R56" s="1" t="s">
        <v>62</v>
      </c>
      <c r="AH56" s="1" t="s">
        <v>63</v>
      </c>
      <c r="AI56" s="1" t="s">
        <v>63</v>
      </c>
      <c r="AK56" s="1" t="s">
        <v>400</v>
      </c>
      <c r="AM56" s="12" t="n">
        <v>46311</v>
      </c>
      <c r="AN56" s="1" t="s">
        <v>401</v>
      </c>
      <c r="AT56" s="1" t="s">
        <v>66</v>
      </c>
      <c r="AU56" s="1" t="str">
        <f aca="false">IF(OR(AT56=TRUE(),AT56="TRUE"),"This sample listing is provided solely to demonstrate the directory interface. It does not represent a live declaration, verification, endorsement or participating establishment.","")</f>
        <v/>
      </c>
      <c r="AV56" s="1" t="str">
        <f aca="false">IF(OR(A56="",B56="",C56="",D56=""),"Missing required fields",IF(NOT(AND(ISNUMBER(M56),ISNUMBER(N56))),"Missing coordinates","Complete"))</f>
        <v>Complete</v>
      </c>
      <c r="AW56" s="1" t="str">
        <f aca="false">IF(AND(ISNUMBER(M56),ISNUMBER(N56)),"Ready","Coordinates required")</f>
        <v>Ready</v>
      </c>
      <c r="AX56" s="1" t="str">
        <f aca="false">IF(OR(AT56=TRUE(),AT56="TRUE"),"Demo record",IF(A56="","Missing ID",IF(B56="","Missing name",IF(NOT(AND(ISNUMBER(M56),ISNUMBER(N56))),"Coordinates required","Ready for publication"))))</f>
        <v>Ready for publication</v>
      </c>
    </row>
    <row r="57" customFormat="false" ht="14.25" hidden="false" customHeight="true" outlineLevel="0" collapsed="false">
      <c r="A57" s="1" t="s">
        <v>402</v>
      </c>
      <c r="B57" s="1" t="s">
        <v>403</v>
      </c>
      <c r="C57" s="11" t="s">
        <v>52</v>
      </c>
      <c r="D57" s="1" t="s">
        <v>77</v>
      </c>
      <c r="E57" s="1" t="s">
        <v>78</v>
      </c>
      <c r="F57" s="1" t="str">
        <f aca="false">IF(C57="Singapore",IF(LEN(TEXT(E57,"000000"))=6,LEFT(TEXT(E57,"000000"),2),""),"")</f>
        <v>51</v>
      </c>
      <c r="H57" s="1" t="s">
        <v>70</v>
      </c>
      <c r="I57" s="1" t="s">
        <v>71</v>
      </c>
      <c r="J57" s="1" t="s">
        <v>72</v>
      </c>
      <c r="K57" s="11" t="s">
        <v>404</v>
      </c>
      <c r="L57" s="11" t="s">
        <v>59</v>
      </c>
      <c r="M57" s="1" t="n">
        <v>1.373737</v>
      </c>
      <c r="N57" s="1" t="n">
        <v>103.948718</v>
      </c>
      <c r="O57" s="11" t="s">
        <v>60</v>
      </c>
      <c r="P57" s="1" t="s">
        <v>73</v>
      </c>
      <c r="R57" s="1" t="s">
        <v>62</v>
      </c>
      <c r="AH57" s="1" t="s">
        <v>63</v>
      </c>
      <c r="AI57" s="1" t="s">
        <v>63</v>
      </c>
      <c r="AK57" s="1" t="s">
        <v>79</v>
      </c>
      <c r="AM57" s="12" t="n">
        <v>46311</v>
      </c>
      <c r="AN57" s="1" t="s">
        <v>405</v>
      </c>
      <c r="AT57" s="1" t="s">
        <v>66</v>
      </c>
      <c r="AU57" s="1" t="str">
        <f aca="false">IF(OR(AT57=TRUE(),AT57="TRUE"),"This sample listing is provided solely to demonstrate the directory interface. It does not represent a live declaration, verification, endorsement or participating establishment.","")</f>
        <v/>
      </c>
      <c r="AV57" s="1" t="str">
        <f aca="false">IF(OR(A57="",B57="",C57="",D57=""),"Missing required fields",IF(NOT(AND(ISNUMBER(M57),ISNUMBER(N57))),"Missing coordinates","Complete"))</f>
        <v>Complete</v>
      </c>
      <c r="AW57" s="1" t="str">
        <f aca="false">IF(AND(ISNUMBER(M57),ISNUMBER(N57)),"Ready","Coordinates required")</f>
        <v>Ready</v>
      </c>
      <c r="AX57" s="1" t="str">
        <f aca="false">IF(OR(AT57=TRUE(),AT57="TRUE"),"Demo record",IF(A57="","Missing ID",IF(B57="","Missing name",IF(NOT(AND(ISNUMBER(M57),ISNUMBER(N57))),"Coordinates required","Ready for publication"))))</f>
        <v>Ready for publication</v>
      </c>
    </row>
    <row r="58" customFormat="false" ht="14.25" hidden="false" customHeight="true" outlineLevel="0" collapsed="false">
      <c r="A58" s="1" t="s">
        <v>406</v>
      </c>
      <c r="B58" s="1" t="s">
        <v>407</v>
      </c>
      <c r="C58" s="11" t="s">
        <v>52</v>
      </c>
      <c r="D58" s="1" t="s">
        <v>408</v>
      </c>
      <c r="F58" s="1" t="str">
        <f aca="false">IF(C58="Singapore",IF(LEN(TEXT(E58,"000000"))=6,LEFT(TEXT(E58,"000000"),2),""),"")</f>
        <v>00</v>
      </c>
      <c r="K58" s="11"/>
      <c r="L58" s="11" t="s">
        <v>197</v>
      </c>
      <c r="M58" s="1" t="n">
        <v>1.354264</v>
      </c>
      <c r="N58" s="1" t="n">
        <v>103.945089</v>
      </c>
      <c r="O58" s="11" t="s">
        <v>60</v>
      </c>
      <c r="P58" s="1" t="s">
        <v>61</v>
      </c>
      <c r="R58" s="1" t="s">
        <v>62</v>
      </c>
      <c r="AH58" s="1" t="s">
        <v>63</v>
      </c>
      <c r="AI58" s="1" t="s">
        <v>63</v>
      </c>
      <c r="AK58" s="1" t="s">
        <v>82</v>
      </c>
      <c r="AM58" s="12" t="n">
        <v>46311</v>
      </c>
      <c r="AT58" s="1" t="s">
        <v>66</v>
      </c>
      <c r="AU58" s="1" t="str">
        <f aca="false">IF(OR(AT58=TRUE(),AT58="TRUE"),"This sample listing is provided solely to demonstrate the directory interface. It does not represent a live declaration, verification, endorsement or participating establishment.","")</f>
        <v/>
      </c>
      <c r="AV58" s="1" t="str">
        <f aca="false">IF(OR(A58="",B58="",C58="",D58=""),"Missing required fields",IF(NOT(AND(ISNUMBER(M58),ISNUMBER(N58))),"Missing coordinates","Complete"))</f>
        <v>Complete</v>
      </c>
      <c r="AW58" s="1" t="str">
        <f aca="false">IF(AND(ISNUMBER(M58),ISNUMBER(N58)),"Ready","Coordinates required")</f>
        <v>Ready</v>
      </c>
      <c r="AX58" s="1" t="str">
        <f aca="false">IF(OR(AT58=TRUE(),AT58="TRUE"),"Demo record",IF(A58="","Missing ID",IF(B58="","Missing name",IF(NOT(AND(ISNUMBER(M58),ISNUMBER(N58))),"Coordinates required","Ready for publication"))))</f>
        <v>Ready for publication</v>
      </c>
    </row>
    <row r="59" customFormat="false" ht="14.25" hidden="false" customHeight="true" outlineLevel="0" collapsed="false">
      <c r="A59" s="1" t="s">
        <v>409</v>
      </c>
      <c r="B59" s="1" t="s">
        <v>410</v>
      </c>
      <c r="C59" s="11" t="s">
        <v>52</v>
      </c>
      <c r="D59" s="1" t="s">
        <v>77</v>
      </c>
      <c r="E59" s="1" t="s">
        <v>78</v>
      </c>
      <c r="F59" s="1" t="str">
        <f aca="false">IF(C59="Singapore",IF(LEN(TEXT(E59,"000000"))=6,LEFT(TEXT(E59,"000000"),2),""),"")</f>
        <v>51</v>
      </c>
      <c r="H59" s="1" t="s">
        <v>70</v>
      </c>
      <c r="I59" s="1" t="s">
        <v>71</v>
      </c>
      <c r="J59" s="1" t="s">
        <v>72</v>
      </c>
      <c r="K59" s="11"/>
      <c r="L59" s="11" t="s">
        <v>59</v>
      </c>
      <c r="M59" s="1" t="n">
        <v>1.373208</v>
      </c>
      <c r="N59" s="1" t="n">
        <v>103.948564</v>
      </c>
      <c r="O59" s="11" t="s">
        <v>60</v>
      </c>
      <c r="P59" s="1" t="s">
        <v>73</v>
      </c>
      <c r="R59" s="1" t="s">
        <v>62</v>
      </c>
      <c r="AH59" s="1" t="s">
        <v>63</v>
      </c>
      <c r="AI59" s="1" t="s">
        <v>63</v>
      </c>
      <c r="AK59" s="1" t="s">
        <v>79</v>
      </c>
      <c r="AM59" s="12" t="n">
        <v>46311</v>
      </c>
      <c r="AN59" s="1" t="s">
        <v>411</v>
      </c>
      <c r="AT59" s="1" t="s">
        <v>66</v>
      </c>
      <c r="AU59" s="1" t="str">
        <f aca="false">IF(OR(AT59=TRUE(),AT59="TRUE"),"This sample listing is provided solely to demonstrate the directory interface. It does not represent a live declaration, verification, endorsement or participating establishment.","")</f>
        <v/>
      </c>
      <c r="AV59" s="1" t="str">
        <f aca="false">IF(OR(A59="",B59="",C59="",D59=""),"Missing required fields",IF(NOT(AND(ISNUMBER(M59),ISNUMBER(N59))),"Missing coordinates","Complete"))</f>
        <v>Complete</v>
      </c>
      <c r="AW59" s="1" t="str">
        <f aca="false">IF(AND(ISNUMBER(M59),ISNUMBER(N59)),"Ready","Coordinates required")</f>
        <v>Ready</v>
      </c>
      <c r="AX59" s="1" t="str">
        <f aca="false">IF(OR(AT59=TRUE(),AT59="TRUE"),"Demo record",IF(A59="","Missing ID",IF(B59="","Missing name",IF(NOT(AND(ISNUMBER(M59),ISNUMBER(N59))),"Coordinates required","Ready for publication"))))</f>
        <v>Ready for publication</v>
      </c>
    </row>
    <row r="60" customFormat="false" ht="14.25" hidden="false" customHeight="true" outlineLevel="0" collapsed="false">
      <c r="A60" s="1" t="s">
        <v>412</v>
      </c>
      <c r="B60" s="1" t="s">
        <v>413</v>
      </c>
      <c r="C60" s="11" t="s">
        <v>52</v>
      </c>
      <c r="D60" s="1" t="s">
        <v>68</v>
      </c>
      <c r="E60" s="1" t="s">
        <v>69</v>
      </c>
      <c r="F60" s="1" t="str">
        <f aca="false">IF(C60="Singapore",IF(LEN(TEXT(E60,"000000"))=6,LEFT(TEXT(E60,"000000"),2),""),"")</f>
        <v>51</v>
      </c>
      <c r="H60" s="1" t="s">
        <v>70</v>
      </c>
      <c r="I60" s="1" t="s">
        <v>71</v>
      </c>
      <c r="J60" s="1" t="s">
        <v>72</v>
      </c>
      <c r="K60" s="11" t="s">
        <v>414</v>
      </c>
      <c r="L60" s="11" t="s">
        <v>59</v>
      </c>
      <c r="M60" s="1" t="n">
        <v>1.372286</v>
      </c>
      <c r="N60" s="1" t="n">
        <v>103.949774</v>
      </c>
      <c r="O60" s="11" t="s">
        <v>60</v>
      </c>
      <c r="P60" s="1" t="s">
        <v>73</v>
      </c>
      <c r="R60" s="1" t="s">
        <v>62</v>
      </c>
      <c r="AH60" s="1" t="s">
        <v>63</v>
      </c>
      <c r="AI60" s="1" t="s">
        <v>63</v>
      </c>
      <c r="AK60" s="1" t="s">
        <v>415</v>
      </c>
      <c r="AM60" s="12" t="n">
        <v>46311</v>
      </c>
      <c r="AT60" s="1" t="s">
        <v>66</v>
      </c>
      <c r="AU60" s="1" t="str">
        <f aca="false">IF(OR(AT60=TRUE(),AT60="TRUE"),"This sample listing is provided solely to demonstrate the directory interface. It does not represent a live declaration, verification, endorsement or participating establishment.","")</f>
        <v/>
      </c>
      <c r="AV60" s="1" t="str">
        <f aca="false">IF(OR(A60="",B60="",C60="",D60=""),"Missing required fields",IF(NOT(AND(ISNUMBER(M60),ISNUMBER(N60))),"Missing coordinates","Complete"))</f>
        <v>Complete</v>
      </c>
      <c r="AW60" s="1" t="str">
        <f aca="false">IF(AND(ISNUMBER(M60),ISNUMBER(N60)),"Ready","Coordinates required")</f>
        <v>Ready</v>
      </c>
      <c r="AX60" s="1" t="str">
        <f aca="false">IF(OR(AT60=TRUE(),AT60="TRUE"),"Demo record",IF(A60="","Missing ID",IF(B60="","Missing name",IF(NOT(AND(ISNUMBER(M60),ISNUMBER(N60))),"Coordinates required","Ready for publication"))))</f>
        <v>Ready for publication</v>
      </c>
    </row>
    <row r="61" customFormat="false" ht="14.25" hidden="false" customHeight="true" outlineLevel="0" collapsed="false">
      <c r="A61" s="1" t="s">
        <v>416</v>
      </c>
      <c r="B61" s="1" t="s">
        <v>417</v>
      </c>
      <c r="C61" s="11" t="s">
        <v>52</v>
      </c>
      <c r="D61" s="1" t="s">
        <v>418</v>
      </c>
      <c r="E61" s="1" t="s">
        <v>419</v>
      </c>
      <c r="F61" s="1" t="str">
        <f aca="false">IF(C61="Singapore",IF(LEN(TEXT(E61,"000000"))=6,LEFT(TEXT(E61,"000000"),2),""),"")</f>
        <v>51</v>
      </c>
      <c r="H61" s="1" t="s">
        <v>70</v>
      </c>
      <c r="I61" s="1" t="s">
        <v>71</v>
      </c>
      <c r="J61" s="1" t="s">
        <v>72</v>
      </c>
      <c r="K61" s="11" t="s">
        <v>420</v>
      </c>
      <c r="L61" s="11" t="s">
        <v>59</v>
      </c>
      <c r="M61" s="1" t="n">
        <v>1.375755</v>
      </c>
      <c r="N61" s="1" t="n">
        <v>103.955757</v>
      </c>
      <c r="O61" s="11" t="s">
        <v>60</v>
      </c>
      <c r="P61" s="1" t="s">
        <v>73</v>
      </c>
      <c r="R61" s="1" t="s">
        <v>62</v>
      </c>
      <c r="AH61" s="1" t="s">
        <v>63</v>
      </c>
      <c r="AI61" s="1" t="s">
        <v>63</v>
      </c>
      <c r="AK61" s="1" t="s">
        <v>421</v>
      </c>
      <c r="AM61" s="12" t="n">
        <v>46311</v>
      </c>
      <c r="AN61" s="1" t="s">
        <v>422</v>
      </c>
      <c r="AT61" s="1" t="s">
        <v>66</v>
      </c>
      <c r="AU61" s="1" t="str">
        <f aca="false">IF(OR(AT61=TRUE(),AT61="TRUE"),"This sample listing is provided solely to demonstrate the directory interface. It does not represent a live declaration, verification, endorsement or participating establishment.","")</f>
        <v/>
      </c>
      <c r="AV61" s="1" t="str">
        <f aca="false">IF(OR(A61="",B61="",C61="",D61=""),"Missing required fields",IF(NOT(AND(ISNUMBER(M61),ISNUMBER(N61))),"Missing coordinates","Complete"))</f>
        <v>Complete</v>
      </c>
      <c r="AW61" s="1" t="str">
        <f aca="false">IF(AND(ISNUMBER(M61),ISNUMBER(N61)),"Ready","Coordinates required")</f>
        <v>Ready</v>
      </c>
      <c r="AX61" s="1" t="str">
        <f aca="false">IF(OR(AT61=TRUE(),AT61="TRUE"),"Demo record",IF(A61="","Missing ID",IF(B61="","Missing name",IF(NOT(AND(ISNUMBER(M61),ISNUMBER(N61))),"Coordinates required","Ready for publication"))))</f>
        <v>Ready for publication</v>
      </c>
    </row>
    <row r="62" customFormat="false" ht="14.25" hidden="false" customHeight="true" outlineLevel="0" collapsed="false">
      <c r="A62" s="1" t="s">
        <v>423</v>
      </c>
      <c r="B62" s="1" t="s">
        <v>424</v>
      </c>
      <c r="C62" s="11" t="s">
        <v>52</v>
      </c>
      <c r="D62" s="1" t="s">
        <v>425</v>
      </c>
      <c r="E62" s="1" t="s">
        <v>426</v>
      </c>
      <c r="F62" s="1" t="str">
        <f aca="false">IF(C62="Singapore",IF(LEN(TEXT(E62,"000000"))=6,LEFT(TEXT(E62,"000000"),2),""),"")</f>
        <v>67</v>
      </c>
      <c r="H62" s="1" t="s">
        <v>87</v>
      </c>
      <c r="I62" s="1" t="s">
        <v>88</v>
      </c>
      <c r="J62" s="1" t="s">
        <v>89</v>
      </c>
      <c r="K62" s="11" t="s">
        <v>427</v>
      </c>
      <c r="L62" s="11" t="s">
        <v>59</v>
      </c>
      <c r="M62" s="1" t="n">
        <v>1.379927</v>
      </c>
      <c r="N62" s="1" t="n">
        <v>103.760284</v>
      </c>
      <c r="O62" s="11" t="s">
        <v>60</v>
      </c>
      <c r="P62" s="1" t="s">
        <v>73</v>
      </c>
      <c r="R62" s="1" t="s">
        <v>62</v>
      </c>
      <c r="AH62" s="1" t="s">
        <v>63</v>
      </c>
      <c r="AI62" s="1" t="s">
        <v>63</v>
      </c>
      <c r="AK62" s="1" t="s">
        <v>428</v>
      </c>
      <c r="AM62" s="12" t="s">
        <v>65</v>
      </c>
      <c r="AN62" s="1" t="s">
        <v>429</v>
      </c>
      <c r="AT62" s="1" t="s">
        <v>66</v>
      </c>
      <c r="AU62" s="1" t="str">
        <f aca="false">IF(OR(AT62=TRUE(),AT62="TRUE"),"This sample listing is provided solely to demonstrate the directory interface. It does not represent a live declaration, verification, endorsement or participating establishment.","")</f>
        <v/>
      </c>
      <c r="AV62" s="1" t="str">
        <f aca="false">IF(OR(A62="",B62="",C62="",D62=""),"Missing required fields",IF(NOT(AND(ISNUMBER(M62),ISNUMBER(N62))),"Missing coordinates","Complete"))</f>
        <v>Complete</v>
      </c>
      <c r="AW62" s="1" t="str">
        <f aca="false">IF(AND(ISNUMBER(M62),ISNUMBER(N62)),"Ready","Coordinates required")</f>
        <v>Ready</v>
      </c>
      <c r="AX62" s="1" t="str">
        <f aca="false">IF(OR(AT62=TRUE(),AT62="TRUE"),"Demo record",IF(A62="","Missing ID",IF(B62="","Missing name",IF(NOT(AND(ISNUMBER(M62),ISNUMBER(N62))),"Coordinates required","Ready for publication"))))</f>
        <v>Ready for publication</v>
      </c>
    </row>
    <row r="63" customFormat="false" ht="14.25" hidden="false" customHeight="true" outlineLevel="0" collapsed="false">
      <c r="A63" s="1" t="s">
        <v>430</v>
      </c>
      <c r="B63" s="1" t="s">
        <v>424</v>
      </c>
      <c r="C63" s="11" t="s">
        <v>52</v>
      </c>
      <c r="D63" s="1" t="s">
        <v>431</v>
      </c>
      <c r="F63" s="1" t="str">
        <f aca="false">IF(C63="Singapore",IF(LEN(TEXT(E63,"000000"))=6,LEFT(TEXT(E63,"000000"),2),""),"")</f>
        <v>00</v>
      </c>
      <c r="K63" s="11" t="s">
        <v>432</v>
      </c>
      <c r="L63" s="11" t="s">
        <v>59</v>
      </c>
      <c r="M63" s="1" t="n">
        <v>1.35565</v>
      </c>
      <c r="N63" s="1" t="n">
        <v>103.989944</v>
      </c>
      <c r="O63" s="11" t="s">
        <v>60</v>
      </c>
      <c r="P63" s="1" t="s">
        <v>73</v>
      </c>
      <c r="R63" s="1" t="s">
        <v>62</v>
      </c>
      <c r="AH63" s="1" t="s">
        <v>63</v>
      </c>
      <c r="AI63" s="1" t="s">
        <v>63</v>
      </c>
      <c r="AK63" s="1" t="s">
        <v>433</v>
      </c>
      <c r="AM63" s="12" t="n">
        <v>46311</v>
      </c>
      <c r="AT63" s="1" t="s">
        <v>66</v>
      </c>
      <c r="AU63" s="1" t="str">
        <f aca="false">IF(OR(AT63=TRUE(),AT63="TRUE"),"This sample listing is provided solely to demonstrate the directory interface. It does not represent a live declaration, verification, endorsement or participating establishment.","")</f>
        <v/>
      </c>
      <c r="AV63" s="1" t="str">
        <f aca="false">IF(OR(A63="",B63="",C63="",D63=""),"Missing required fields",IF(NOT(AND(ISNUMBER(M63),ISNUMBER(N63))),"Missing coordinates","Complete"))</f>
        <v>Complete</v>
      </c>
      <c r="AW63" s="1" t="str">
        <f aca="false">IF(AND(ISNUMBER(M63),ISNUMBER(N63)),"Ready","Coordinates required")</f>
        <v>Ready</v>
      </c>
      <c r="AX63" s="1" t="str">
        <f aca="false">IF(OR(AT63=TRUE(),AT63="TRUE"),"Demo record",IF(A63="","Missing ID",IF(B63="","Missing name",IF(NOT(AND(ISNUMBER(M63),ISNUMBER(N63))),"Coordinates required","Ready for publication"))))</f>
        <v>Ready for publication</v>
      </c>
    </row>
    <row r="64" customFormat="false" ht="14.25" hidden="false" customHeight="true" outlineLevel="0" collapsed="false">
      <c r="A64" s="1" t="s">
        <v>434</v>
      </c>
      <c r="B64" s="1" t="s">
        <v>435</v>
      </c>
      <c r="C64" s="11" t="s">
        <v>52</v>
      </c>
      <c r="D64" s="1" t="s">
        <v>436</v>
      </c>
      <c r="F64" s="1" t="str">
        <f aca="false">IF(C64="Singapore",IF(LEN(TEXT(E64,"000000"))=6,LEFT(TEXT(E64,"000000"),2),""),"")</f>
        <v>00</v>
      </c>
      <c r="K64" s="11"/>
      <c r="L64" s="11" t="s">
        <v>59</v>
      </c>
      <c r="M64" s="1" t="n">
        <v>1.324351</v>
      </c>
      <c r="N64" s="1" t="n">
        <v>103.853106</v>
      </c>
      <c r="O64" s="11" t="s">
        <v>60</v>
      </c>
      <c r="P64" s="1" t="s">
        <v>73</v>
      </c>
      <c r="R64" s="1" t="s">
        <v>62</v>
      </c>
      <c r="AH64" s="1" t="s">
        <v>63</v>
      </c>
      <c r="AI64" s="1" t="s">
        <v>63</v>
      </c>
      <c r="AK64" s="1" t="s">
        <v>437</v>
      </c>
      <c r="AM64" s="12" t="n">
        <v>46311</v>
      </c>
      <c r="AT64" s="1" t="s">
        <v>66</v>
      </c>
      <c r="AU64" s="1" t="str">
        <f aca="false">IF(OR(AT64=TRUE(),AT64="TRUE"),"This sample listing is provided solely to demonstrate the directory interface. It does not represent a live declaration, verification, endorsement or participating establishment.","")</f>
        <v/>
      </c>
      <c r="AV64" s="1" t="str">
        <f aca="false">IF(OR(A64="",B64="",C64="",D64=""),"Missing required fields",IF(NOT(AND(ISNUMBER(M64),ISNUMBER(N64))),"Missing coordinates","Complete"))</f>
        <v>Complete</v>
      </c>
      <c r="AW64" s="1" t="str">
        <f aca="false">IF(AND(ISNUMBER(M64),ISNUMBER(N64)),"Ready","Coordinates required")</f>
        <v>Ready</v>
      </c>
      <c r="AX64" s="1" t="str">
        <f aca="false">IF(OR(AT64=TRUE(),AT64="TRUE"),"Demo record",IF(A64="","Missing ID",IF(B64="","Missing name",IF(NOT(AND(ISNUMBER(M64),ISNUMBER(N64))),"Coordinates required","Ready for publication"))))</f>
        <v>Ready for publication</v>
      </c>
    </row>
    <row r="65" customFormat="false" ht="14.25" hidden="false" customHeight="true" outlineLevel="0" collapsed="false">
      <c r="A65" s="1" t="s">
        <v>438</v>
      </c>
      <c r="B65" s="1" t="s">
        <v>439</v>
      </c>
      <c r="C65" s="11" t="s">
        <v>52</v>
      </c>
      <c r="D65" s="1" t="s">
        <v>440</v>
      </c>
      <c r="E65" s="1" t="s">
        <v>441</v>
      </c>
      <c r="F65" s="1" t="str">
        <f aca="false">IF(C65="Singapore",IF(LEN(TEXT(E65,"000000"))=6,LEFT(TEXT(E65,"000000"),2),""),"")</f>
        <v>32</v>
      </c>
      <c r="H65" s="1" t="s">
        <v>55</v>
      </c>
      <c r="I65" s="1" t="s">
        <v>56</v>
      </c>
      <c r="J65" s="1" t="s">
        <v>57</v>
      </c>
      <c r="K65" s="11" t="s">
        <v>442</v>
      </c>
      <c r="L65" s="11" t="s">
        <v>112</v>
      </c>
      <c r="M65" s="1" t="n">
        <v>1.326817</v>
      </c>
      <c r="N65" s="1" t="n">
        <v>103.846378</v>
      </c>
      <c r="O65" s="11" t="s">
        <v>60</v>
      </c>
      <c r="P65" s="1" t="s">
        <v>113</v>
      </c>
      <c r="R65" s="1" t="s">
        <v>62</v>
      </c>
      <c r="AH65" s="1" t="s">
        <v>63</v>
      </c>
      <c r="AI65" s="1" t="s">
        <v>63</v>
      </c>
      <c r="AK65" s="1" t="s">
        <v>443</v>
      </c>
      <c r="AM65" s="12" t="s">
        <v>65</v>
      </c>
      <c r="AT65" s="1" t="s">
        <v>66</v>
      </c>
      <c r="AU65" s="1" t="str">
        <f aca="false">IF(OR(AT65=TRUE(),AT65="TRUE"),"This sample listing is provided solely to demonstrate the directory interface. It does not represent a live declaration, verification, endorsement or participating establishment.","")</f>
        <v/>
      </c>
      <c r="AV65" s="1" t="str">
        <f aca="false">IF(OR(A65="",B65="",C65="",D65=""),"Missing required fields",IF(NOT(AND(ISNUMBER(M65),ISNUMBER(N65))),"Missing coordinates","Complete"))</f>
        <v>Complete</v>
      </c>
      <c r="AW65" s="1" t="str">
        <f aca="false">IF(AND(ISNUMBER(M65),ISNUMBER(N65)),"Ready","Coordinates required")</f>
        <v>Ready</v>
      </c>
      <c r="AX65" s="1" t="str">
        <f aca="false">IF(OR(AT65=TRUE(),AT65="TRUE"),"Demo record",IF(A65="","Missing ID",IF(B65="","Missing name",IF(NOT(AND(ISNUMBER(M65),ISNUMBER(N65))),"Coordinates required","Ready for publication"))))</f>
        <v>Ready for publication</v>
      </c>
    </row>
    <row r="66" customFormat="false" ht="14.25" hidden="false" customHeight="true" outlineLevel="0" collapsed="false">
      <c r="A66" s="1" t="s">
        <v>444</v>
      </c>
      <c r="B66" s="1" t="s">
        <v>445</v>
      </c>
      <c r="C66" s="11" t="s">
        <v>52</v>
      </c>
      <c r="D66" s="1" t="s">
        <v>446</v>
      </c>
      <c r="E66" s="1" t="s">
        <v>447</v>
      </c>
      <c r="F66" s="1" t="str">
        <f aca="false">IF(C66="Singapore",IF(LEN(TEXT(E66,"000000"))=6,LEFT(TEXT(E66,"000000"),2),""),"")</f>
        <v>67</v>
      </c>
      <c r="H66" s="1" t="s">
        <v>87</v>
      </c>
      <c r="I66" s="1" t="s">
        <v>88</v>
      </c>
      <c r="J66" s="1" t="s">
        <v>89</v>
      </c>
      <c r="K66" s="11" t="s">
        <v>448</v>
      </c>
      <c r="L66" s="11" t="s">
        <v>112</v>
      </c>
      <c r="M66" s="1" t="n">
        <v>1.380561</v>
      </c>
      <c r="N66" s="1" t="n">
        <v>103.764024</v>
      </c>
      <c r="O66" s="11" t="s">
        <v>60</v>
      </c>
      <c r="P66" s="1" t="s">
        <v>113</v>
      </c>
      <c r="R66" s="1" t="s">
        <v>62</v>
      </c>
      <c r="AH66" s="1" t="s">
        <v>63</v>
      </c>
      <c r="AI66" s="1" t="s">
        <v>63</v>
      </c>
      <c r="AK66" s="1" t="s">
        <v>449</v>
      </c>
      <c r="AM66" s="12" t="s">
        <v>65</v>
      </c>
      <c r="AT66" s="1" t="s">
        <v>66</v>
      </c>
      <c r="AU66" s="1" t="str">
        <f aca="false">IF(OR(AT66=TRUE(),AT66="TRUE"),"This sample listing is provided solely to demonstrate the directory interface. It does not represent a live declaration, verification, endorsement or participating establishment.","")</f>
        <v/>
      </c>
      <c r="AV66" s="1" t="str">
        <f aca="false">IF(OR(A66="",B66="",C66="",D66=""),"Missing required fields",IF(NOT(AND(ISNUMBER(M66),ISNUMBER(N66))),"Missing coordinates","Complete"))</f>
        <v>Complete</v>
      </c>
      <c r="AW66" s="1" t="str">
        <f aca="false">IF(AND(ISNUMBER(M66),ISNUMBER(N66)),"Ready","Coordinates required")</f>
        <v>Ready</v>
      </c>
      <c r="AX66" s="1" t="str">
        <f aca="false">IF(OR(AT66=TRUE(),AT66="TRUE"),"Demo record",IF(A66="","Missing ID",IF(B66="","Missing name",IF(NOT(AND(ISNUMBER(M66),ISNUMBER(N66))),"Coordinates required","Ready for publication"))))</f>
        <v>Ready for publication</v>
      </c>
    </row>
    <row r="67" customFormat="false" ht="14.25" hidden="false" customHeight="true" outlineLevel="0" collapsed="false">
      <c r="A67" s="1" t="s">
        <v>450</v>
      </c>
      <c r="B67" s="1" t="s">
        <v>451</v>
      </c>
      <c r="C67" s="11" t="s">
        <v>52</v>
      </c>
      <c r="D67" s="1" t="s">
        <v>452</v>
      </c>
      <c r="F67" s="1" t="str">
        <f aca="false">IF(C67="Singapore",IF(LEN(TEXT(E67,"000000"))=6,LEFT(TEXT(E67,"000000"),2),""),"")</f>
        <v>00</v>
      </c>
      <c r="K67" s="11" t="s">
        <v>453</v>
      </c>
      <c r="L67" s="11" t="s">
        <v>112</v>
      </c>
      <c r="M67" s="1" t="n">
        <v>1.314583</v>
      </c>
      <c r="N67" s="1" t="n">
        <v>103.695236</v>
      </c>
      <c r="O67" s="11" t="s">
        <v>60</v>
      </c>
      <c r="P67" s="1" t="s">
        <v>113</v>
      </c>
      <c r="R67" s="1" t="s">
        <v>62</v>
      </c>
      <c r="AH67" s="1" t="s">
        <v>63</v>
      </c>
      <c r="AI67" s="1" t="s">
        <v>63</v>
      </c>
      <c r="AK67" s="1" t="s">
        <v>454</v>
      </c>
      <c r="AM67" s="12" t="n">
        <v>46311</v>
      </c>
      <c r="AT67" s="1" t="s">
        <v>66</v>
      </c>
      <c r="AU67" s="1" t="str">
        <f aca="false">IF(OR(AT67=TRUE(),AT67="TRUE"),"This sample listing is provided solely to demonstrate the directory interface. It does not represent a live declaration, verification, endorsement or participating establishment.","")</f>
        <v/>
      </c>
      <c r="AV67" s="1" t="str">
        <f aca="false">IF(OR(A67="",B67="",C67="",D67=""),"Missing required fields",IF(NOT(AND(ISNUMBER(M67),ISNUMBER(N67))),"Missing coordinates","Complete"))</f>
        <v>Complete</v>
      </c>
      <c r="AW67" s="1" t="str">
        <f aca="false">IF(AND(ISNUMBER(M67),ISNUMBER(N67)),"Ready","Coordinates required")</f>
        <v>Ready</v>
      </c>
      <c r="AX67" s="1" t="str">
        <f aca="false">IF(OR(AT67=TRUE(),AT67="TRUE"),"Demo record",IF(A67="","Missing ID",IF(B67="","Missing name",IF(NOT(AND(ISNUMBER(M67),ISNUMBER(N67))),"Coordinates required","Ready for publication"))))</f>
        <v>Ready for publication</v>
      </c>
    </row>
    <row r="68" customFormat="false" ht="14.25" hidden="false" customHeight="true" outlineLevel="0" collapsed="false">
      <c r="A68" s="1" t="s">
        <v>455</v>
      </c>
      <c r="B68" s="1" t="s">
        <v>456</v>
      </c>
      <c r="C68" s="11" t="s">
        <v>52</v>
      </c>
      <c r="D68" s="1" t="s">
        <v>68</v>
      </c>
      <c r="E68" s="1" t="s">
        <v>69</v>
      </c>
      <c r="F68" s="1" t="str">
        <f aca="false">IF(C68="Singapore",IF(LEN(TEXT(E68,"000000"))=6,LEFT(TEXT(E68,"000000"),2),""),"")</f>
        <v>51</v>
      </c>
      <c r="H68" s="1" t="s">
        <v>70</v>
      </c>
      <c r="I68" s="1" t="s">
        <v>71</v>
      </c>
      <c r="J68" s="1" t="s">
        <v>72</v>
      </c>
      <c r="K68" s="11"/>
      <c r="L68" s="11" t="s">
        <v>197</v>
      </c>
      <c r="M68" s="1" t="n">
        <v>1.372372</v>
      </c>
      <c r="N68" s="1" t="n">
        <v>103.949502</v>
      </c>
      <c r="O68" s="11" t="s">
        <v>60</v>
      </c>
      <c r="P68" s="1" t="s">
        <v>73</v>
      </c>
      <c r="R68" s="1" t="s">
        <v>62</v>
      </c>
      <c r="AH68" s="1" t="s">
        <v>63</v>
      </c>
      <c r="AI68" s="1" t="s">
        <v>63</v>
      </c>
      <c r="AK68" s="1" t="s">
        <v>457</v>
      </c>
      <c r="AM68" s="12" t="n">
        <v>46311</v>
      </c>
      <c r="AN68" s="1" t="s">
        <v>458</v>
      </c>
      <c r="AT68" s="1" t="s">
        <v>66</v>
      </c>
      <c r="AU68" s="1" t="str">
        <f aca="false">IF(OR(AT68=TRUE(),AT68="TRUE"),"This sample listing is provided solely to demonstrate the directory interface. It does not represent a live declaration, verification, endorsement or participating establishment.","")</f>
        <v/>
      </c>
      <c r="AV68" s="1" t="str">
        <f aca="false">IF(OR(A68="",B68="",C68="",D68=""),"Missing required fields",IF(NOT(AND(ISNUMBER(M68),ISNUMBER(N68))),"Missing coordinates","Complete"))</f>
        <v>Complete</v>
      </c>
      <c r="AW68" s="1" t="str">
        <f aca="false">IF(AND(ISNUMBER(M68),ISNUMBER(N68)),"Ready","Coordinates required")</f>
        <v>Ready</v>
      </c>
      <c r="AX68" s="1" t="str">
        <f aca="false">IF(OR(AT68=TRUE(),AT68="TRUE"),"Demo record",IF(A68="","Missing ID",IF(B68="","Missing name",IF(NOT(AND(ISNUMBER(M68),ISNUMBER(N68))),"Coordinates required","Ready for publication"))))</f>
        <v>Ready for publication</v>
      </c>
    </row>
    <row r="69" customFormat="false" ht="14.25" hidden="false" customHeight="true" outlineLevel="0" collapsed="false">
      <c r="A69" s="1" t="s">
        <v>459</v>
      </c>
      <c r="B69" s="1" t="s">
        <v>460</v>
      </c>
      <c r="C69" s="11" t="s">
        <v>52</v>
      </c>
      <c r="D69" s="1" t="s">
        <v>461</v>
      </c>
      <c r="E69" s="1" t="s">
        <v>327</v>
      </c>
      <c r="F69" s="1" t="str">
        <f aca="false">IF(C69="Singapore",IF(LEN(TEXT(E69,"000000"))=6,LEFT(TEXT(E69,"000000"),2),""),"")</f>
        <v>48</v>
      </c>
      <c r="H69" s="1" t="s">
        <v>156</v>
      </c>
      <c r="I69" s="1" t="s">
        <v>157</v>
      </c>
      <c r="J69" s="1" t="s">
        <v>158</v>
      </c>
      <c r="K69" s="11" t="s">
        <v>462</v>
      </c>
      <c r="L69" s="11" t="s">
        <v>59</v>
      </c>
      <c r="M69" s="1" t="n">
        <v>1.340731</v>
      </c>
      <c r="N69" s="1" t="n">
        <v>103.96255</v>
      </c>
      <c r="O69" s="11" t="s">
        <v>60</v>
      </c>
      <c r="P69" s="1" t="s">
        <v>73</v>
      </c>
      <c r="R69" s="1" t="s">
        <v>62</v>
      </c>
      <c r="AH69" s="1" t="s">
        <v>63</v>
      </c>
      <c r="AI69" s="1" t="s">
        <v>63</v>
      </c>
      <c r="AK69" s="1" t="s">
        <v>463</v>
      </c>
      <c r="AM69" s="12" t="n">
        <v>46311</v>
      </c>
      <c r="AT69" s="1" t="s">
        <v>66</v>
      </c>
      <c r="AU69" s="1" t="str">
        <f aca="false">IF(OR(AT69=TRUE(),AT69="TRUE"),"This sample listing is provided solely to demonstrate the directory interface. It does not represent a live declaration, verification, endorsement or participating establishment.","")</f>
        <v/>
      </c>
      <c r="AV69" s="1" t="str">
        <f aca="false">IF(OR(A69="",B69="",C69="",D69=""),"Missing required fields",IF(NOT(AND(ISNUMBER(M69),ISNUMBER(N69))),"Missing coordinates","Complete"))</f>
        <v>Complete</v>
      </c>
      <c r="AW69" s="1" t="str">
        <f aca="false">IF(AND(ISNUMBER(M69),ISNUMBER(N69)),"Ready","Coordinates required")</f>
        <v>Ready</v>
      </c>
      <c r="AX69" s="1" t="str">
        <f aca="false">IF(OR(AT69=TRUE(),AT69="TRUE"),"Demo record",IF(A69="","Missing ID",IF(B69="","Missing name",IF(NOT(AND(ISNUMBER(M69),ISNUMBER(N69))),"Coordinates required","Ready for publication"))))</f>
        <v>Ready for publication</v>
      </c>
    </row>
    <row r="70" customFormat="false" ht="14.25" hidden="false" customHeight="true" outlineLevel="0" collapsed="false">
      <c r="A70" s="1" t="s">
        <v>464</v>
      </c>
      <c r="B70" s="1" t="s">
        <v>465</v>
      </c>
      <c r="C70" s="11" t="s">
        <v>52</v>
      </c>
      <c r="D70" s="1" t="s">
        <v>466</v>
      </c>
      <c r="F70" s="1" t="str">
        <f aca="false">IF(C70="Singapore",IF(LEN(TEXT(E70,"000000"))=6,LEFT(TEXT(E70,"000000"),2),""),"")</f>
        <v>00</v>
      </c>
      <c r="K70" s="11"/>
      <c r="L70" s="11" t="s">
        <v>59</v>
      </c>
      <c r="M70" s="1" t="n">
        <v>1.3543</v>
      </c>
      <c r="N70" s="1" t="n">
        <v>103.945065</v>
      </c>
      <c r="O70" s="11" t="s">
        <v>60</v>
      </c>
      <c r="P70" s="1" t="s">
        <v>61</v>
      </c>
      <c r="R70" s="1" t="s">
        <v>62</v>
      </c>
      <c r="AH70" s="1" t="s">
        <v>63</v>
      </c>
      <c r="AI70" s="1" t="s">
        <v>63</v>
      </c>
      <c r="AK70" s="1" t="s">
        <v>82</v>
      </c>
      <c r="AM70" s="12" t="n">
        <v>46311</v>
      </c>
      <c r="AT70" s="1" t="s">
        <v>66</v>
      </c>
      <c r="AU70" s="1" t="str">
        <f aca="false">IF(OR(AT70=TRUE(),AT70="TRUE"),"This sample listing is provided solely to demonstrate the directory interface. It does not represent a live declaration, verification, endorsement or participating establishment.","")</f>
        <v/>
      </c>
      <c r="AV70" s="1" t="str">
        <f aca="false">IF(OR(A70="",B70="",C70="",D70=""),"Missing required fields",IF(NOT(AND(ISNUMBER(M70),ISNUMBER(N70))),"Missing coordinates","Complete"))</f>
        <v>Complete</v>
      </c>
      <c r="AW70" s="1" t="str">
        <f aca="false">IF(AND(ISNUMBER(M70),ISNUMBER(N70)),"Ready","Coordinates required")</f>
        <v>Ready</v>
      </c>
      <c r="AX70" s="1" t="str">
        <f aca="false">IF(OR(AT70=TRUE(),AT70="TRUE"),"Demo record",IF(A70="","Missing ID",IF(B70="","Missing name",IF(NOT(AND(ISNUMBER(M70),ISNUMBER(N70))),"Coordinates required","Ready for publication"))))</f>
        <v>Ready for publication</v>
      </c>
    </row>
    <row r="71" customFormat="false" ht="14.25" hidden="false" customHeight="true" outlineLevel="0" collapsed="false">
      <c r="A71" s="1" t="s">
        <v>467</v>
      </c>
      <c r="B71" s="1" t="s">
        <v>468</v>
      </c>
      <c r="C71" s="11" t="s">
        <v>52</v>
      </c>
      <c r="D71" s="1" t="s">
        <v>469</v>
      </c>
      <c r="E71" s="1" t="s">
        <v>470</v>
      </c>
      <c r="F71" s="1" t="str">
        <f aca="false">IF(C71="Singapore",IF(LEN(TEXT(E71,"000000"))=6,LEFT(TEXT(E71,"000000"),2),""),"")</f>
        <v>19</v>
      </c>
      <c r="H71" s="1" t="s">
        <v>222</v>
      </c>
      <c r="I71" s="1" t="s">
        <v>223</v>
      </c>
      <c r="J71" s="1" t="s">
        <v>224</v>
      </c>
      <c r="K71" s="11"/>
      <c r="L71" s="11" t="s">
        <v>59</v>
      </c>
      <c r="M71" s="1" t="n">
        <v>1.303825</v>
      </c>
      <c r="N71" s="1" t="n">
        <v>103.859899</v>
      </c>
      <c r="O71" s="11" t="s">
        <v>60</v>
      </c>
      <c r="P71" s="1" t="s">
        <v>73</v>
      </c>
      <c r="R71" s="1" t="s">
        <v>62</v>
      </c>
      <c r="AH71" s="1" t="s">
        <v>63</v>
      </c>
      <c r="AI71" s="1" t="s">
        <v>63</v>
      </c>
      <c r="AK71" s="1" t="s">
        <v>471</v>
      </c>
      <c r="AM71" s="12" t="n">
        <v>46311</v>
      </c>
      <c r="AT71" s="1" t="s">
        <v>66</v>
      </c>
      <c r="AU71" s="1" t="str">
        <f aca="false">IF(OR(AT71=TRUE(),AT71="TRUE"),"This sample listing is provided solely to demonstrate the directory interface. It does not represent a live declaration, verification, endorsement or participating establishment.","")</f>
        <v/>
      </c>
      <c r="AV71" s="1" t="str">
        <f aca="false">IF(OR(A71="",B71="",C71="",D71=""),"Missing required fields",IF(NOT(AND(ISNUMBER(M71),ISNUMBER(N71))),"Missing coordinates","Complete"))</f>
        <v>Complete</v>
      </c>
      <c r="AW71" s="1" t="str">
        <f aca="false">IF(AND(ISNUMBER(M71),ISNUMBER(N71)),"Ready","Coordinates required")</f>
        <v>Ready</v>
      </c>
      <c r="AX71" s="1" t="str">
        <f aca="false">IF(OR(AT71=TRUE(),AT71="TRUE"),"Demo record",IF(A71="","Missing ID",IF(B71="","Missing name",IF(NOT(AND(ISNUMBER(M71),ISNUMBER(N71))),"Coordinates required","Ready for publication"))))</f>
        <v>Ready for publication</v>
      </c>
    </row>
    <row r="72" customFormat="false" ht="14.25" hidden="false" customHeight="true" outlineLevel="0" collapsed="false">
      <c r="A72" s="1" t="s">
        <v>472</v>
      </c>
      <c r="B72" s="1" t="s">
        <v>473</v>
      </c>
      <c r="C72" s="11" t="s">
        <v>52</v>
      </c>
      <c r="D72" s="1" t="s">
        <v>474</v>
      </c>
      <c r="E72" s="1" t="s">
        <v>475</v>
      </c>
      <c r="F72" s="1" t="str">
        <f aca="false">IF(C72="Singapore",IF(LEN(TEXT(E72,"000000"))=6,LEFT(TEXT(E72,"000000"),2),""),"")</f>
        <v>43</v>
      </c>
      <c r="H72" s="1" t="s">
        <v>267</v>
      </c>
      <c r="I72" s="1" t="s">
        <v>268</v>
      </c>
      <c r="J72" s="1" t="s">
        <v>269</v>
      </c>
      <c r="K72" s="11"/>
      <c r="L72" s="11" t="s">
        <v>112</v>
      </c>
      <c r="M72" s="1" t="n">
        <v>1.315427</v>
      </c>
      <c r="N72" s="1" t="n">
        <v>103.895476</v>
      </c>
      <c r="O72" s="11" t="s">
        <v>60</v>
      </c>
      <c r="P72" s="1" t="s">
        <v>113</v>
      </c>
      <c r="R72" s="1" t="s">
        <v>62</v>
      </c>
      <c r="AH72" s="1" t="s">
        <v>63</v>
      </c>
      <c r="AI72" s="1" t="s">
        <v>63</v>
      </c>
      <c r="AK72" s="1" t="s">
        <v>114</v>
      </c>
      <c r="AM72" s="12" t="n">
        <v>46311</v>
      </c>
      <c r="AT72" s="1" t="s">
        <v>66</v>
      </c>
      <c r="AU72" s="1" t="str">
        <f aca="false">IF(OR(AT72=TRUE(),AT72="TRUE"),"This sample listing is provided solely to demonstrate the directory interface. It does not represent a live declaration, verification, endorsement or participating establishment.","")</f>
        <v/>
      </c>
      <c r="AV72" s="1" t="str">
        <f aca="false">IF(OR(A72="",B72="",C72="",D72=""),"Missing required fields",IF(NOT(AND(ISNUMBER(M72),ISNUMBER(N72))),"Missing coordinates","Complete"))</f>
        <v>Complete</v>
      </c>
      <c r="AW72" s="1" t="str">
        <f aca="false">IF(AND(ISNUMBER(M72),ISNUMBER(N72)),"Ready","Coordinates required")</f>
        <v>Ready</v>
      </c>
      <c r="AX72" s="1" t="str">
        <f aca="false">IF(OR(AT72=TRUE(),AT72="TRUE"),"Demo record",IF(A72="","Missing ID",IF(B72="","Missing name",IF(NOT(AND(ISNUMBER(M72),ISNUMBER(N72))),"Coordinates required","Ready for publication"))))</f>
        <v>Ready for publication</v>
      </c>
    </row>
    <row r="73" customFormat="false" ht="14.25" hidden="false" customHeight="true" outlineLevel="0" collapsed="false">
      <c r="A73" s="1" t="s">
        <v>476</v>
      </c>
      <c r="B73" s="1" t="s">
        <v>477</v>
      </c>
      <c r="C73" s="11" t="s">
        <v>52</v>
      </c>
      <c r="D73" s="1" t="s">
        <v>478</v>
      </c>
      <c r="E73" s="1" t="s">
        <v>479</v>
      </c>
      <c r="F73" s="1" t="str">
        <f aca="false">IF(C73="Singapore",IF(LEN(TEXT(E73,"000000"))=6,LEFT(TEXT(E73,"000000"),2),""),"")</f>
        <v>81</v>
      </c>
      <c r="H73" s="1" t="s">
        <v>480</v>
      </c>
      <c r="I73" s="1" t="s">
        <v>165</v>
      </c>
      <c r="J73" s="1" t="s">
        <v>166</v>
      </c>
      <c r="K73" s="11" t="s">
        <v>427</v>
      </c>
      <c r="L73" s="11" t="s">
        <v>197</v>
      </c>
      <c r="M73" s="1" t="n">
        <v>1.361812</v>
      </c>
      <c r="N73" s="1" t="n">
        <v>103.98932</v>
      </c>
      <c r="O73" s="11" t="s">
        <v>60</v>
      </c>
      <c r="P73" s="1" t="s">
        <v>73</v>
      </c>
      <c r="R73" s="1" t="s">
        <v>62</v>
      </c>
      <c r="AH73" s="1" t="s">
        <v>63</v>
      </c>
      <c r="AI73" s="1" t="s">
        <v>63</v>
      </c>
      <c r="AK73" s="1" t="s">
        <v>481</v>
      </c>
      <c r="AM73" s="12" t="s">
        <v>65</v>
      </c>
      <c r="AT73" s="1" t="s">
        <v>66</v>
      </c>
      <c r="AU73" s="1" t="str">
        <f aca="false">IF(OR(AT73=TRUE(),AT73="TRUE"),"This sample listing is provided solely to demonstrate the directory interface. It does not represent a live declaration, verification, endorsement or participating establishment.","")</f>
        <v/>
      </c>
      <c r="AV73" s="1" t="str">
        <f aca="false">IF(OR(A73="",B73="",C73="",D73=""),"Missing required fields",IF(NOT(AND(ISNUMBER(M73),ISNUMBER(N73))),"Missing coordinates","Complete"))</f>
        <v>Complete</v>
      </c>
      <c r="AW73" s="1" t="str">
        <f aca="false">IF(AND(ISNUMBER(M73),ISNUMBER(N73)),"Ready","Coordinates required")</f>
        <v>Ready</v>
      </c>
      <c r="AX73" s="1" t="str">
        <f aca="false">IF(OR(AT73=TRUE(),AT73="TRUE"),"Demo record",IF(A73="","Missing ID",IF(B73="","Missing name",IF(NOT(AND(ISNUMBER(M73),ISNUMBER(N73))),"Coordinates required","Ready for publication"))))</f>
        <v>Ready for publication</v>
      </c>
    </row>
    <row r="74" customFormat="false" ht="14.25" hidden="false" customHeight="true" outlineLevel="0" collapsed="false">
      <c r="A74" s="1" t="s">
        <v>482</v>
      </c>
      <c r="B74" s="1" t="s">
        <v>483</v>
      </c>
      <c r="C74" s="11" t="s">
        <v>52</v>
      </c>
      <c r="D74" s="1" t="s">
        <v>484</v>
      </c>
      <c r="E74" s="1" t="s">
        <v>419</v>
      </c>
      <c r="F74" s="1" t="str">
        <f aca="false">IF(C74="Singapore",IF(LEN(TEXT(E74,"000000"))=6,LEFT(TEXT(E74,"000000"),2),""),"")</f>
        <v>51</v>
      </c>
      <c r="H74" s="1" t="s">
        <v>70</v>
      </c>
      <c r="I74" s="1" t="s">
        <v>71</v>
      </c>
      <c r="J74" s="1" t="s">
        <v>72</v>
      </c>
      <c r="K74" s="11" t="s">
        <v>485</v>
      </c>
      <c r="L74" s="11" t="s">
        <v>59</v>
      </c>
      <c r="M74" s="1" t="n">
        <v>1.377527</v>
      </c>
      <c r="N74" s="1" t="n">
        <v>103.954892</v>
      </c>
      <c r="O74" s="11" t="s">
        <v>60</v>
      </c>
      <c r="P74" s="1" t="s">
        <v>73</v>
      </c>
      <c r="R74" s="1" t="s">
        <v>62</v>
      </c>
      <c r="AH74" s="1" t="s">
        <v>63</v>
      </c>
      <c r="AI74" s="1" t="s">
        <v>63</v>
      </c>
      <c r="AK74" s="1" t="s">
        <v>486</v>
      </c>
      <c r="AM74" s="12" t="n">
        <v>46311</v>
      </c>
      <c r="AN74" s="1" t="s">
        <v>487</v>
      </c>
      <c r="AT74" s="1" t="s">
        <v>66</v>
      </c>
      <c r="AU74" s="1" t="str">
        <f aca="false">IF(OR(AT74=TRUE(),AT74="TRUE"),"This sample listing is provided solely to demonstrate the directory interface. It does not represent a live declaration, verification, endorsement or participating establishment.","")</f>
        <v/>
      </c>
      <c r="AV74" s="1" t="str">
        <f aca="false">IF(OR(A74="",B74="",C74="",D74=""),"Missing required fields",IF(NOT(AND(ISNUMBER(M74),ISNUMBER(N74))),"Missing coordinates","Complete"))</f>
        <v>Complete</v>
      </c>
      <c r="AW74" s="1" t="str">
        <f aca="false">IF(AND(ISNUMBER(M74),ISNUMBER(N74)),"Ready","Coordinates required")</f>
        <v>Ready</v>
      </c>
      <c r="AX74" s="1" t="str">
        <f aca="false">IF(OR(AT74=TRUE(),AT74="TRUE"),"Demo record",IF(A74="","Missing ID",IF(B74="","Missing name",IF(NOT(AND(ISNUMBER(M74),ISNUMBER(N74))),"Coordinates required","Ready for publication"))))</f>
        <v>Ready for publication</v>
      </c>
    </row>
    <row r="75" customFormat="false" ht="14.25" hidden="false" customHeight="true" outlineLevel="0" collapsed="false">
      <c r="A75" s="1" t="s">
        <v>488</v>
      </c>
      <c r="B75" s="1" t="s">
        <v>483</v>
      </c>
      <c r="C75" s="11" t="s">
        <v>52</v>
      </c>
      <c r="D75" s="1" t="s">
        <v>489</v>
      </c>
      <c r="E75" s="1" t="s">
        <v>490</v>
      </c>
      <c r="F75" s="1" t="str">
        <f aca="false">IF(C75="Singapore",IF(LEN(TEXT(E75,"000000"))=6,LEFT(TEXT(E75,"000000"),2),""),"")</f>
        <v>53</v>
      </c>
      <c r="H75" s="1" t="s">
        <v>491</v>
      </c>
      <c r="I75" s="1" t="s">
        <v>492</v>
      </c>
      <c r="J75" s="1" t="s">
        <v>493</v>
      </c>
      <c r="K75" s="11" t="s">
        <v>485</v>
      </c>
      <c r="L75" s="11" t="s">
        <v>59</v>
      </c>
      <c r="M75" s="1" t="n">
        <v>1.33491</v>
      </c>
      <c r="N75" s="1" t="n">
        <v>103.889149</v>
      </c>
      <c r="O75" s="11" t="s">
        <v>60</v>
      </c>
      <c r="P75" s="1" t="s">
        <v>73</v>
      </c>
      <c r="R75" s="1" t="s">
        <v>62</v>
      </c>
      <c r="AH75" s="1" t="s">
        <v>63</v>
      </c>
      <c r="AI75" s="1" t="s">
        <v>63</v>
      </c>
      <c r="AK75" s="1" t="s">
        <v>486</v>
      </c>
      <c r="AM75" s="12" t="n">
        <v>46311</v>
      </c>
      <c r="AN75" s="1" t="s">
        <v>487</v>
      </c>
      <c r="AT75" s="1" t="s">
        <v>66</v>
      </c>
      <c r="AU75" s="1" t="str">
        <f aca="false">IF(OR(AT75=TRUE(),AT75="TRUE"),"This sample listing is provided solely to demonstrate the directory interface. It does not represent a live declaration, verification, endorsement or participating establishment.","")</f>
        <v/>
      </c>
      <c r="AV75" s="1" t="str">
        <f aca="false">IF(OR(A75="",B75="",C75="",D75=""),"Missing required fields",IF(NOT(AND(ISNUMBER(M75),ISNUMBER(N75))),"Missing coordinates","Complete"))</f>
        <v>Complete</v>
      </c>
      <c r="AW75" s="1" t="str">
        <f aca="false">IF(AND(ISNUMBER(M75),ISNUMBER(N75)),"Ready","Coordinates required")</f>
        <v>Ready</v>
      </c>
      <c r="AX75" s="1" t="str">
        <f aca="false">IF(OR(AT75=TRUE(),AT75="TRUE"),"Demo record",IF(A75="","Missing ID",IF(B75="","Missing name",IF(NOT(AND(ISNUMBER(M75),ISNUMBER(N75))),"Coordinates required","Ready for publication"))))</f>
        <v>Ready for publication</v>
      </c>
    </row>
    <row r="76" customFormat="false" ht="14.25" hidden="false" customHeight="true" outlineLevel="0" collapsed="false">
      <c r="A76" s="1" t="s">
        <v>494</v>
      </c>
      <c r="B76" s="1" t="s">
        <v>495</v>
      </c>
      <c r="C76" s="11" t="s">
        <v>52</v>
      </c>
      <c r="D76" s="1" t="s">
        <v>496</v>
      </c>
      <c r="E76" s="1" t="s">
        <v>497</v>
      </c>
      <c r="F76" s="1" t="str">
        <f aca="false">IF(C76="Singapore",IF(LEN(TEXT(E76,"000000"))=6,LEFT(TEXT(E76,"000000"),2),""),"")</f>
        <v>21</v>
      </c>
      <c r="H76" s="1" t="s">
        <v>338</v>
      </c>
      <c r="I76" s="1" t="s">
        <v>339</v>
      </c>
      <c r="J76" s="1" t="s">
        <v>340</v>
      </c>
      <c r="K76" s="11" t="s">
        <v>225</v>
      </c>
      <c r="L76" s="11" t="s">
        <v>197</v>
      </c>
      <c r="M76" s="1" t="n">
        <v>1.316628</v>
      </c>
      <c r="N76" s="1" t="n">
        <v>103.857741</v>
      </c>
      <c r="O76" s="11" t="s">
        <v>60</v>
      </c>
      <c r="P76" s="1" t="s">
        <v>73</v>
      </c>
      <c r="R76" s="1" t="s">
        <v>62</v>
      </c>
      <c r="AH76" s="1" t="s">
        <v>63</v>
      </c>
      <c r="AI76" s="1" t="s">
        <v>63</v>
      </c>
      <c r="AK76" s="1" t="s">
        <v>498</v>
      </c>
      <c r="AM76" s="12" t="n">
        <v>46311</v>
      </c>
      <c r="AT76" s="1" t="s">
        <v>66</v>
      </c>
      <c r="AU76" s="1" t="str">
        <f aca="false">IF(OR(AT76=TRUE(),AT76="TRUE"),"This sample listing is provided solely to demonstrate the directory interface. It does not represent a live declaration, verification, endorsement or participating establishment.","")</f>
        <v/>
      </c>
      <c r="AV76" s="1" t="str">
        <f aca="false">IF(OR(A76="",B76="",C76="",D76=""),"Missing required fields",IF(NOT(AND(ISNUMBER(M76),ISNUMBER(N76))),"Missing coordinates","Complete"))</f>
        <v>Complete</v>
      </c>
      <c r="AW76" s="1" t="str">
        <f aca="false">IF(AND(ISNUMBER(M76),ISNUMBER(N76)),"Ready","Coordinates required")</f>
        <v>Ready</v>
      </c>
      <c r="AX76" s="1" t="str">
        <f aca="false">IF(OR(AT76=TRUE(),AT76="TRUE"),"Demo record",IF(A76="","Missing ID",IF(B76="","Missing name",IF(NOT(AND(ISNUMBER(M76),ISNUMBER(N76))),"Coordinates required","Ready for publication"))))</f>
        <v>Ready for publication</v>
      </c>
    </row>
    <row r="77" customFormat="false" ht="14.25" hidden="false" customHeight="true" outlineLevel="0" collapsed="false">
      <c r="A77" s="1" t="s">
        <v>499</v>
      </c>
      <c r="B77" s="1" t="s">
        <v>500</v>
      </c>
      <c r="C77" s="11" t="s">
        <v>52</v>
      </c>
      <c r="D77" s="1" t="s">
        <v>501</v>
      </c>
      <c r="E77" s="1" t="s">
        <v>502</v>
      </c>
      <c r="F77" s="1" t="str">
        <f aca="false">IF(C77="Singapore",IF(LEN(TEXT(E77,"000000"))=6,LEFT(TEXT(E77,"000000"),2),""),"")</f>
        <v>65</v>
      </c>
      <c r="H77" s="1" t="s">
        <v>140</v>
      </c>
      <c r="I77" s="1" t="s">
        <v>88</v>
      </c>
      <c r="J77" s="1" t="s">
        <v>89</v>
      </c>
      <c r="K77" s="11"/>
      <c r="L77" s="11" t="s">
        <v>112</v>
      </c>
      <c r="M77" s="1" t="n">
        <v>1.348144</v>
      </c>
      <c r="N77" s="1" t="n">
        <v>103.758992</v>
      </c>
      <c r="O77" s="11" t="s">
        <v>60</v>
      </c>
      <c r="P77" s="1" t="s">
        <v>113</v>
      </c>
      <c r="R77" s="1" t="s">
        <v>62</v>
      </c>
      <c r="AH77" s="1" t="s">
        <v>63</v>
      </c>
      <c r="AI77" s="1" t="s">
        <v>63</v>
      </c>
      <c r="AK77" s="1" t="s">
        <v>503</v>
      </c>
      <c r="AM77" s="12" t="s">
        <v>65</v>
      </c>
      <c r="AT77" s="1" t="s">
        <v>66</v>
      </c>
      <c r="AU77" s="1" t="str">
        <f aca="false">IF(OR(AT77=TRUE(),AT77="TRUE"),"This sample listing is provided solely to demonstrate the directory interface. It does not represent a live declaration, verification, endorsement or participating establishment.","")</f>
        <v/>
      </c>
      <c r="AV77" s="1" t="str">
        <f aca="false">IF(OR(A77="",B77="",C77="",D77=""),"Missing required fields",IF(NOT(AND(ISNUMBER(M77),ISNUMBER(N77))),"Missing coordinates","Complete"))</f>
        <v>Complete</v>
      </c>
      <c r="AW77" s="1" t="str">
        <f aca="false">IF(AND(ISNUMBER(M77),ISNUMBER(N77)),"Ready","Coordinates required")</f>
        <v>Ready</v>
      </c>
      <c r="AX77" s="1" t="str">
        <f aca="false">IF(OR(AT77=TRUE(),AT77="TRUE"),"Demo record",IF(A77="","Missing ID",IF(B77="","Missing name",IF(NOT(AND(ISNUMBER(M77),ISNUMBER(N77))),"Coordinates required","Ready for publication"))))</f>
        <v>Ready for publication</v>
      </c>
    </row>
    <row r="78" customFormat="false" ht="14.25" hidden="false" customHeight="true" outlineLevel="0" collapsed="false">
      <c r="A78" s="1" t="s">
        <v>504</v>
      </c>
      <c r="B78" s="1" t="s">
        <v>505</v>
      </c>
      <c r="C78" s="11" t="s">
        <v>52</v>
      </c>
      <c r="D78" s="1" t="s">
        <v>68</v>
      </c>
      <c r="E78" s="1" t="s">
        <v>69</v>
      </c>
      <c r="F78" s="1" t="str">
        <f aca="false">IF(C78="Singapore",IF(LEN(TEXT(E78,"000000"))=6,LEFT(TEXT(E78,"000000"),2),""),"")</f>
        <v>51</v>
      </c>
      <c r="H78" s="1" t="s">
        <v>70</v>
      </c>
      <c r="I78" s="1" t="s">
        <v>71</v>
      </c>
      <c r="J78" s="1" t="s">
        <v>72</v>
      </c>
      <c r="K78" s="11" t="s">
        <v>506</v>
      </c>
      <c r="L78" s="11" t="s">
        <v>59</v>
      </c>
      <c r="M78" s="1" t="n">
        <v>1.372358</v>
      </c>
      <c r="N78" s="1" t="n">
        <v>103.949907</v>
      </c>
      <c r="O78" s="11" t="s">
        <v>60</v>
      </c>
      <c r="P78" s="1" t="s">
        <v>73</v>
      </c>
      <c r="R78" s="1" t="s">
        <v>62</v>
      </c>
      <c r="AH78" s="1" t="s">
        <v>63</v>
      </c>
      <c r="AI78" s="1" t="s">
        <v>63</v>
      </c>
      <c r="AK78" s="1" t="s">
        <v>79</v>
      </c>
      <c r="AM78" s="12" t="n">
        <v>46311</v>
      </c>
      <c r="AN78" s="1" t="s">
        <v>507</v>
      </c>
      <c r="AT78" s="1" t="s">
        <v>66</v>
      </c>
      <c r="AU78" s="1" t="str">
        <f aca="false">IF(OR(AT78=TRUE(),AT78="TRUE"),"This sample listing is provided solely to demonstrate the directory interface. It does not represent a live declaration, verification, endorsement or participating establishment.","")</f>
        <v/>
      </c>
      <c r="AV78" s="1" t="str">
        <f aca="false">IF(OR(A78="",B78="",C78="",D78=""),"Missing required fields",IF(NOT(AND(ISNUMBER(M78),ISNUMBER(N78))),"Missing coordinates","Complete"))</f>
        <v>Complete</v>
      </c>
      <c r="AW78" s="1" t="str">
        <f aca="false">IF(AND(ISNUMBER(M78),ISNUMBER(N78)),"Ready","Coordinates required")</f>
        <v>Ready</v>
      </c>
      <c r="AX78" s="1" t="str">
        <f aca="false">IF(OR(AT78=TRUE(),AT78="TRUE"),"Demo record",IF(A78="","Missing ID",IF(B78="","Missing name",IF(NOT(AND(ISNUMBER(M78),ISNUMBER(N78))),"Coordinates required","Ready for publication"))))</f>
        <v>Ready for publication</v>
      </c>
    </row>
    <row r="79" customFormat="false" ht="14.25" hidden="false" customHeight="true" outlineLevel="0" collapsed="false">
      <c r="A79" s="1" t="s">
        <v>508</v>
      </c>
      <c r="B79" s="1" t="s">
        <v>509</v>
      </c>
      <c r="C79" s="11" t="s">
        <v>52</v>
      </c>
      <c r="D79" s="1" t="s">
        <v>510</v>
      </c>
      <c r="E79" s="1" t="s">
        <v>511</v>
      </c>
      <c r="F79" s="1" t="str">
        <f aca="false">IF(C79="Singapore",IF(LEN(TEXT(E79,"000000"))=6,LEFT(TEXT(E79,"000000"),2),""),"")</f>
        <v>81</v>
      </c>
      <c r="H79" s="1" t="s">
        <v>480</v>
      </c>
      <c r="I79" s="1" t="s">
        <v>165</v>
      </c>
      <c r="J79" s="1" t="s">
        <v>166</v>
      </c>
      <c r="K79" s="11" t="s">
        <v>512</v>
      </c>
      <c r="L79" s="11" t="s">
        <v>59</v>
      </c>
      <c r="M79" s="1" t="n">
        <v>1.355272</v>
      </c>
      <c r="N79" s="1" t="n">
        <v>103.986809</v>
      </c>
      <c r="O79" s="11" t="s">
        <v>60</v>
      </c>
      <c r="P79" s="1" t="s">
        <v>73</v>
      </c>
      <c r="R79" s="1" t="s">
        <v>62</v>
      </c>
      <c r="AH79" s="1" t="s">
        <v>63</v>
      </c>
      <c r="AI79" s="1" t="s">
        <v>63</v>
      </c>
      <c r="AK79" s="1" t="s">
        <v>513</v>
      </c>
      <c r="AM79" s="12" t="s">
        <v>65</v>
      </c>
      <c r="AT79" s="1" t="s">
        <v>66</v>
      </c>
      <c r="AU79" s="1" t="str">
        <f aca="false">IF(OR(AT79=TRUE(),AT79="TRUE"),"This sample listing is provided solely to demonstrate the directory interface. It does not represent a live declaration, verification, endorsement or participating establishment.","")</f>
        <v/>
      </c>
      <c r="AV79" s="1" t="str">
        <f aca="false">IF(OR(A79="",B79="",C79="",D79=""),"Missing required fields",IF(NOT(AND(ISNUMBER(M79),ISNUMBER(N79))),"Missing coordinates","Complete"))</f>
        <v>Complete</v>
      </c>
      <c r="AW79" s="1" t="str">
        <f aca="false">IF(AND(ISNUMBER(M79),ISNUMBER(N79)),"Ready","Coordinates required")</f>
        <v>Ready</v>
      </c>
      <c r="AX79" s="1" t="str">
        <f aca="false">IF(OR(AT79=TRUE(),AT79="TRUE"),"Demo record",IF(A79="","Missing ID",IF(B79="","Missing name",IF(NOT(AND(ISNUMBER(M79),ISNUMBER(N79))),"Coordinates required","Ready for publication"))))</f>
        <v>Ready for publication</v>
      </c>
    </row>
    <row r="80" customFormat="false" ht="14.25" hidden="false" customHeight="true" outlineLevel="0" collapsed="false">
      <c r="A80" s="1" t="s">
        <v>514</v>
      </c>
      <c r="B80" s="1" t="s">
        <v>515</v>
      </c>
      <c r="C80" s="11" t="s">
        <v>52</v>
      </c>
      <c r="D80" s="1" t="s">
        <v>516</v>
      </c>
      <c r="E80" s="1" t="s">
        <v>517</v>
      </c>
      <c r="F80" s="1" t="str">
        <f aca="false">IF(C80="Singapore",IF(LEN(TEXT(E80,"000000"))=6,LEFT(TEXT(E80,"000000"),2),""),"")</f>
        <v>38</v>
      </c>
      <c r="H80" s="1" t="s">
        <v>518</v>
      </c>
      <c r="I80" s="1" t="s">
        <v>519</v>
      </c>
      <c r="J80" s="1" t="s">
        <v>520</v>
      </c>
      <c r="K80" s="11" t="s">
        <v>521</v>
      </c>
      <c r="L80" s="11" t="s">
        <v>59</v>
      </c>
      <c r="M80" s="1" t="n">
        <v>1.311058</v>
      </c>
      <c r="N80" s="1" t="n">
        <v>103.872556</v>
      </c>
      <c r="O80" s="11" t="s">
        <v>60</v>
      </c>
      <c r="P80" s="1" t="s">
        <v>73</v>
      </c>
      <c r="R80" s="1" t="s">
        <v>62</v>
      </c>
      <c r="AH80" s="1" t="s">
        <v>63</v>
      </c>
      <c r="AI80" s="1" t="s">
        <v>63</v>
      </c>
      <c r="AK80" s="1" t="s">
        <v>522</v>
      </c>
      <c r="AM80" s="12" t="n">
        <v>46311</v>
      </c>
      <c r="AT80" s="1" t="s">
        <v>66</v>
      </c>
      <c r="AU80" s="1" t="str">
        <f aca="false">IF(OR(AT80=TRUE(),AT80="TRUE"),"This sample listing is provided solely to demonstrate the directory interface. It does not represent a live declaration, verification, endorsement or participating establishment.","")</f>
        <v/>
      </c>
      <c r="AV80" s="1" t="str">
        <f aca="false">IF(OR(A80="",B80="",C80="",D80=""),"Missing required fields",IF(NOT(AND(ISNUMBER(M80),ISNUMBER(N80))),"Missing coordinates","Complete"))</f>
        <v>Complete</v>
      </c>
      <c r="AW80" s="1" t="str">
        <f aca="false">IF(AND(ISNUMBER(M80),ISNUMBER(N80)),"Ready","Coordinates required")</f>
        <v>Ready</v>
      </c>
      <c r="AX80" s="1" t="str">
        <f aca="false">IF(OR(AT80=TRUE(),AT80="TRUE"),"Demo record",IF(A80="","Missing ID",IF(B80="","Missing name",IF(NOT(AND(ISNUMBER(M80),ISNUMBER(N80))),"Coordinates required","Ready for publication"))))</f>
        <v>Ready for publication</v>
      </c>
    </row>
    <row r="81" customFormat="false" ht="14.25" hidden="false" customHeight="true" outlineLevel="0" collapsed="false">
      <c r="A81" s="1" t="s">
        <v>523</v>
      </c>
      <c r="B81" s="1" t="s">
        <v>524</v>
      </c>
      <c r="C81" s="11" t="s">
        <v>52</v>
      </c>
      <c r="D81" s="1" t="s">
        <v>525</v>
      </c>
      <c r="E81" s="1" t="s">
        <v>526</v>
      </c>
      <c r="F81" s="1" t="str">
        <f aca="false">IF(C81="Singapore",IF(LEN(TEXT(E81,"000000"))=6,LEFT(TEXT(E81,"000000"),2),""),"")</f>
        <v>66</v>
      </c>
      <c r="H81" s="1" t="s">
        <v>140</v>
      </c>
      <c r="I81" s="1" t="s">
        <v>88</v>
      </c>
      <c r="J81" s="1" t="s">
        <v>89</v>
      </c>
      <c r="K81" s="11" t="s">
        <v>427</v>
      </c>
      <c r="L81" s="11" t="s">
        <v>59</v>
      </c>
      <c r="M81" s="1" t="n">
        <v>1.363438</v>
      </c>
      <c r="N81" s="1" t="n">
        <v>103.764436</v>
      </c>
      <c r="O81" s="11" t="s">
        <v>60</v>
      </c>
      <c r="P81" s="1" t="s">
        <v>73</v>
      </c>
      <c r="R81" s="1" t="s">
        <v>62</v>
      </c>
      <c r="AH81" s="1" t="s">
        <v>63</v>
      </c>
      <c r="AI81" s="1" t="s">
        <v>63</v>
      </c>
      <c r="AK81" s="1" t="s">
        <v>527</v>
      </c>
      <c r="AM81" s="12" t="n">
        <v>46311</v>
      </c>
      <c r="AN81" s="1" t="s">
        <v>528</v>
      </c>
      <c r="AT81" s="1" t="s">
        <v>66</v>
      </c>
      <c r="AU81" s="1" t="str">
        <f aca="false">IF(OR(AT81=TRUE(),AT81="TRUE"),"This sample listing is provided solely to demonstrate the directory interface. It does not represent a live declaration, verification, endorsement or participating establishment.","")</f>
        <v/>
      </c>
      <c r="AV81" s="1" t="str">
        <f aca="false">IF(OR(A81="",B81="",C81="",D81=""),"Missing required fields",IF(NOT(AND(ISNUMBER(M81),ISNUMBER(N81))),"Missing coordinates","Complete"))</f>
        <v>Complete</v>
      </c>
      <c r="AW81" s="1" t="str">
        <f aca="false">IF(AND(ISNUMBER(M81),ISNUMBER(N81)),"Ready","Coordinates required")</f>
        <v>Ready</v>
      </c>
      <c r="AX81" s="1" t="str">
        <f aca="false">IF(OR(AT81=TRUE(),AT81="TRUE"),"Demo record",IF(A81="","Missing ID",IF(B81="","Missing name",IF(NOT(AND(ISNUMBER(M81),ISNUMBER(N81))),"Coordinates required","Ready for publication"))))</f>
        <v>Ready for publication</v>
      </c>
    </row>
    <row r="82" customFormat="false" ht="14.25" hidden="false" customHeight="true" outlineLevel="0" collapsed="false">
      <c r="A82" s="1" t="s">
        <v>529</v>
      </c>
      <c r="B82" s="1" t="s">
        <v>530</v>
      </c>
      <c r="C82" s="11" t="s">
        <v>52</v>
      </c>
      <c r="D82" s="1" t="s">
        <v>77</v>
      </c>
      <c r="E82" s="1" t="s">
        <v>78</v>
      </c>
      <c r="F82" s="1" t="str">
        <f aca="false">IF(C82="Singapore",IF(LEN(TEXT(E82,"000000"))=6,LEFT(TEXT(E82,"000000"),2),""),"")</f>
        <v>51</v>
      </c>
      <c r="H82" s="1" t="s">
        <v>70</v>
      </c>
      <c r="I82" s="1" t="s">
        <v>71</v>
      </c>
      <c r="J82" s="1" t="s">
        <v>72</v>
      </c>
      <c r="K82" s="11" t="s">
        <v>276</v>
      </c>
      <c r="L82" s="11" t="s">
        <v>59</v>
      </c>
      <c r="M82" s="1" t="n">
        <v>1.373727</v>
      </c>
      <c r="N82" s="1" t="n">
        <v>103.948632</v>
      </c>
      <c r="O82" s="11" t="s">
        <v>60</v>
      </c>
      <c r="P82" s="1" t="s">
        <v>73</v>
      </c>
      <c r="R82" s="1" t="s">
        <v>62</v>
      </c>
      <c r="AH82" s="1" t="s">
        <v>63</v>
      </c>
      <c r="AI82" s="1" t="s">
        <v>63</v>
      </c>
      <c r="AK82" s="1" t="s">
        <v>79</v>
      </c>
      <c r="AM82" s="12" t="n">
        <v>46311</v>
      </c>
      <c r="AT82" s="1" t="s">
        <v>66</v>
      </c>
      <c r="AU82" s="1" t="str">
        <f aca="false">IF(OR(AT82=TRUE(),AT82="TRUE"),"This sample listing is provided solely to demonstrate the directory interface. It does not represent a live declaration, verification, endorsement or participating establishment.","")</f>
        <v/>
      </c>
      <c r="AV82" s="1" t="str">
        <f aca="false">IF(OR(A82="",B82="",C82="",D82=""),"Missing required fields",IF(NOT(AND(ISNUMBER(M82),ISNUMBER(N82))),"Missing coordinates","Complete"))</f>
        <v>Complete</v>
      </c>
      <c r="AW82" s="1" t="str">
        <f aca="false">IF(AND(ISNUMBER(M82),ISNUMBER(N82)),"Ready","Coordinates required")</f>
        <v>Ready</v>
      </c>
      <c r="AX82" s="1" t="str">
        <f aca="false">IF(OR(AT82=TRUE(),AT82="TRUE"),"Demo record",IF(A82="","Missing ID",IF(B82="","Missing name",IF(NOT(AND(ISNUMBER(M82),ISNUMBER(N82))),"Coordinates required","Ready for publication"))))</f>
        <v>Ready for publication</v>
      </c>
    </row>
    <row r="83" customFormat="false" ht="14.25" hidden="false" customHeight="true" outlineLevel="0" collapsed="false">
      <c r="A83" s="1" t="s">
        <v>531</v>
      </c>
      <c r="B83" s="1" t="s">
        <v>530</v>
      </c>
      <c r="C83" s="11" t="s">
        <v>52</v>
      </c>
      <c r="D83" s="1" t="s">
        <v>532</v>
      </c>
      <c r="F83" s="1" t="str">
        <f aca="false">IF(C83="Singapore",IF(LEN(TEXT(E83,"000000"))=6,LEFT(TEXT(E83,"000000"),2),""),"")</f>
        <v>00</v>
      </c>
      <c r="K83" s="11" t="s">
        <v>276</v>
      </c>
      <c r="L83" s="11" t="s">
        <v>59</v>
      </c>
      <c r="M83" s="1" t="n">
        <v>1.352219</v>
      </c>
      <c r="N83" s="1" t="n">
        <v>103.944086</v>
      </c>
      <c r="O83" s="11" t="s">
        <v>60</v>
      </c>
      <c r="P83" s="1" t="s">
        <v>61</v>
      </c>
      <c r="R83" s="1" t="s">
        <v>62</v>
      </c>
      <c r="AH83" s="1" t="s">
        <v>63</v>
      </c>
      <c r="AI83" s="1" t="s">
        <v>63</v>
      </c>
      <c r="AK83" s="1" t="s">
        <v>454</v>
      </c>
      <c r="AM83" s="12" t="n">
        <v>46311</v>
      </c>
      <c r="AT83" s="1" t="s">
        <v>66</v>
      </c>
      <c r="AU83" s="1" t="str">
        <f aca="false">IF(OR(AT83=TRUE(),AT83="TRUE"),"This sample listing is provided solely to demonstrate the directory interface. It does not represent a live declaration, verification, endorsement or participating establishment.","")</f>
        <v/>
      </c>
      <c r="AV83" s="1" t="str">
        <f aca="false">IF(OR(A83="",B83="",C83="",D83=""),"Missing required fields",IF(NOT(AND(ISNUMBER(M83),ISNUMBER(N83))),"Missing coordinates","Complete"))</f>
        <v>Complete</v>
      </c>
      <c r="AW83" s="1" t="str">
        <f aca="false">IF(AND(ISNUMBER(M83),ISNUMBER(N83)),"Ready","Coordinates required")</f>
        <v>Ready</v>
      </c>
      <c r="AX83" s="1" t="str">
        <f aca="false">IF(OR(AT83=TRUE(),AT83="TRUE"),"Demo record",IF(A83="","Missing ID",IF(B83="","Missing name",IF(NOT(AND(ISNUMBER(M83),ISNUMBER(N83))),"Coordinates required","Ready for publication"))))</f>
        <v>Ready for publication</v>
      </c>
    </row>
    <row r="84" customFormat="false" ht="14.25" hidden="false" customHeight="true" outlineLevel="0" collapsed="false">
      <c r="A84" s="1" t="s">
        <v>533</v>
      </c>
      <c r="B84" s="1" t="s">
        <v>534</v>
      </c>
      <c r="C84" s="11" t="s">
        <v>52</v>
      </c>
      <c r="D84" s="1" t="s">
        <v>535</v>
      </c>
      <c r="E84" s="1" t="s">
        <v>536</v>
      </c>
      <c r="F84" s="1" t="str">
        <f aca="false">IF(C84="Singapore",IF(LEN(TEXT(E84,"000000"))=6,LEFT(TEXT(E84,"000000"),2),""),"")</f>
        <v>42</v>
      </c>
      <c r="H84" s="1" t="s">
        <v>267</v>
      </c>
      <c r="I84" s="1" t="s">
        <v>268</v>
      </c>
      <c r="J84" s="1" t="s">
        <v>269</v>
      </c>
      <c r="K84" s="11" t="s">
        <v>537</v>
      </c>
      <c r="L84" s="11" t="s">
        <v>59</v>
      </c>
      <c r="M84" s="1" t="n">
        <v>1.310487</v>
      </c>
      <c r="N84" s="1" t="n">
        <v>103.901723</v>
      </c>
      <c r="O84" s="11" t="s">
        <v>60</v>
      </c>
      <c r="P84" s="1" t="s">
        <v>73</v>
      </c>
      <c r="R84" s="1" t="s">
        <v>62</v>
      </c>
      <c r="AH84" s="1" t="s">
        <v>63</v>
      </c>
      <c r="AI84" s="1" t="s">
        <v>63</v>
      </c>
      <c r="AK84" s="1" t="s">
        <v>538</v>
      </c>
      <c r="AM84" s="12" t="n">
        <v>46311</v>
      </c>
      <c r="AN84" s="1" t="s">
        <v>539</v>
      </c>
      <c r="AT84" s="1" t="s">
        <v>66</v>
      </c>
      <c r="AU84" s="1" t="str">
        <f aca="false">IF(OR(AT84=TRUE(),AT84="TRUE"),"This sample listing is provided solely to demonstrate the directory interface. It does not represent a live declaration, verification, endorsement or participating establishment.","")</f>
        <v/>
      </c>
      <c r="AV84" s="1" t="str">
        <f aca="false">IF(OR(A84="",B84="",C84="",D84=""),"Missing required fields",IF(NOT(AND(ISNUMBER(M84),ISNUMBER(N84))),"Missing coordinates","Complete"))</f>
        <v>Complete</v>
      </c>
      <c r="AW84" s="1" t="str">
        <f aca="false">IF(AND(ISNUMBER(M84),ISNUMBER(N84)),"Ready","Coordinates required")</f>
        <v>Ready</v>
      </c>
      <c r="AX84" s="1" t="str">
        <f aca="false">IF(OR(AT84=TRUE(),AT84="TRUE"),"Demo record",IF(A84="","Missing ID",IF(B84="","Missing name",IF(NOT(AND(ISNUMBER(M84),ISNUMBER(N84))),"Coordinates required","Ready for publication"))))</f>
        <v>Ready for publication</v>
      </c>
    </row>
    <row r="85" customFormat="false" ht="14.25" hidden="false" customHeight="true" outlineLevel="0" collapsed="false">
      <c r="A85" s="1" t="s">
        <v>540</v>
      </c>
      <c r="B85" s="1" t="s">
        <v>541</v>
      </c>
      <c r="C85" s="11" t="s">
        <v>52</v>
      </c>
      <c r="D85" s="1" t="s">
        <v>542</v>
      </c>
      <c r="E85" s="1" t="s">
        <v>543</v>
      </c>
      <c r="F85" s="1" t="str">
        <f aca="false">IF(C85="Singapore",IF(LEN(TEXT(E85,"000000"))=6,LEFT(TEXT(E85,"000000"),2),""),"")</f>
        <v>36</v>
      </c>
      <c r="H85" s="1" t="s">
        <v>186</v>
      </c>
      <c r="I85" s="1" t="s">
        <v>187</v>
      </c>
      <c r="J85" s="1" t="s">
        <v>188</v>
      </c>
      <c r="K85" s="11" t="s">
        <v>544</v>
      </c>
      <c r="L85" s="11" t="s">
        <v>59</v>
      </c>
      <c r="M85" s="1" t="n">
        <v>1.332372</v>
      </c>
      <c r="N85" s="1" t="n">
        <v>103.884689</v>
      </c>
      <c r="O85" s="11" t="s">
        <v>60</v>
      </c>
      <c r="P85" s="1" t="s">
        <v>73</v>
      </c>
      <c r="R85" s="1" t="s">
        <v>62</v>
      </c>
      <c r="AH85" s="1" t="s">
        <v>63</v>
      </c>
      <c r="AI85" s="1" t="s">
        <v>63</v>
      </c>
      <c r="AK85" s="1" t="s">
        <v>545</v>
      </c>
      <c r="AM85" s="12" t="n">
        <v>46311</v>
      </c>
      <c r="AT85" s="1" t="s">
        <v>66</v>
      </c>
      <c r="AU85" s="1" t="str">
        <f aca="false">IF(OR(AT85=TRUE(),AT85="TRUE"),"This sample listing is provided solely to demonstrate the directory interface. It does not represent a live declaration, verification, endorsement or participating establishment.","")</f>
        <v/>
      </c>
      <c r="AV85" s="1" t="str">
        <f aca="false">IF(OR(A85="",B85="",C85="",D85=""),"Missing required fields",IF(NOT(AND(ISNUMBER(M85),ISNUMBER(N85))),"Missing coordinates","Complete"))</f>
        <v>Complete</v>
      </c>
      <c r="AW85" s="1" t="str">
        <f aca="false">IF(AND(ISNUMBER(M85),ISNUMBER(N85)),"Ready","Coordinates required")</f>
        <v>Ready</v>
      </c>
      <c r="AX85" s="1" t="str">
        <f aca="false">IF(OR(AT85=TRUE(),AT85="TRUE"),"Demo record",IF(A85="","Missing ID",IF(B85="","Missing name",IF(NOT(AND(ISNUMBER(M85),ISNUMBER(N85))),"Coordinates required","Ready for publication"))))</f>
        <v>Ready for publication</v>
      </c>
    </row>
    <row r="86" customFormat="false" ht="14.25" hidden="false" customHeight="true" outlineLevel="0" collapsed="false">
      <c r="A86" s="1" t="s">
        <v>546</v>
      </c>
      <c r="B86" s="1" t="s">
        <v>547</v>
      </c>
      <c r="C86" s="11" t="s">
        <v>52</v>
      </c>
      <c r="D86" s="1" t="s">
        <v>548</v>
      </c>
      <c r="E86" s="1" t="s">
        <v>549</v>
      </c>
      <c r="F86" s="1" t="str">
        <f aca="false">IF(C86="Singapore",IF(LEN(TEXT(E86,"000000"))=6,LEFT(TEXT(E86,"000000"),2),""),"")</f>
        <v>46</v>
      </c>
      <c r="H86" s="1" t="s">
        <v>156</v>
      </c>
      <c r="I86" s="1" t="s">
        <v>157</v>
      </c>
      <c r="J86" s="1" t="s">
        <v>158</v>
      </c>
      <c r="K86" s="11" t="s">
        <v>485</v>
      </c>
      <c r="L86" s="11" t="s">
        <v>59</v>
      </c>
      <c r="M86" s="1" t="n">
        <v>1.324604</v>
      </c>
      <c r="N86" s="1" t="n">
        <v>103.929421</v>
      </c>
      <c r="O86" s="11" t="s">
        <v>60</v>
      </c>
      <c r="P86" s="1" t="s">
        <v>73</v>
      </c>
      <c r="R86" s="1" t="s">
        <v>62</v>
      </c>
      <c r="AH86" s="1" t="s">
        <v>63</v>
      </c>
      <c r="AI86" s="1" t="s">
        <v>63</v>
      </c>
      <c r="AK86" s="1" t="s">
        <v>550</v>
      </c>
      <c r="AM86" s="12" t="n">
        <v>46311</v>
      </c>
      <c r="AN86" s="1" t="s">
        <v>551</v>
      </c>
      <c r="AT86" s="1" t="s">
        <v>66</v>
      </c>
      <c r="AU86" s="1" t="str">
        <f aca="false">IF(OR(AT86=TRUE(),AT86="TRUE"),"This sample listing is provided solely to demonstrate the directory interface. It does not represent a live declaration, verification, endorsement or participating establishment.","")</f>
        <v/>
      </c>
      <c r="AV86" s="1" t="str">
        <f aca="false">IF(OR(A86="",B86="",C86="",D86=""),"Missing required fields",IF(NOT(AND(ISNUMBER(M86),ISNUMBER(N86))),"Missing coordinates","Complete"))</f>
        <v>Complete</v>
      </c>
      <c r="AW86" s="1" t="str">
        <f aca="false">IF(AND(ISNUMBER(M86),ISNUMBER(N86)),"Ready","Coordinates required")</f>
        <v>Ready</v>
      </c>
      <c r="AX86" s="1" t="str">
        <f aca="false">IF(OR(AT86=TRUE(),AT86="TRUE"),"Demo record",IF(A86="","Missing ID",IF(B86="","Missing name",IF(NOT(AND(ISNUMBER(M86),ISNUMBER(N86))),"Coordinates required","Ready for publication"))))</f>
        <v>Ready for publication</v>
      </c>
    </row>
    <row r="87" customFormat="false" ht="14.25" hidden="false" customHeight="true" outlineLevel="0" collapsed="false">
      <c r="A87" s="1" t="s">
        <v>552</v>
      </c>
      <c r="B87" s="1" t="s">
        <v>553</v>
      </c>
      <c r="C87" s="11" t="s">
        <v>52</v>
      </c>
      <c r="D87" s="1" t="s">
        <v>554</v>
      </c>
      <c r="E87" s="1" t="s">
        <v>555</v>
      </c>
      <c r="F87" s="1" t="str">
        <f aca="false">IF(C87="Singapore",IF(LEN(TEXT(E87,"000000"))=6,LEFT(TEXT(E87,"000000"),2),""),"")</f>
        <v>12</v>
      </c>
      <c r="H87" s="1" t="s">
        <v>364</v>
      </c>
      <c r="I87" s="1" t="s">
        <v>365</v>
      </c>
      <c r="J87" s="1" t="s">
        <v>366</v>
      </c>
      <c r="K87" s="11"/>
      <c r="L87" s="11" t="s">
        <v>112</v>
      </c>
      <c r="M87" s="1" t="n">
        <v>1.3184</v>
      </c>
      <c r="N87" s="1" t="n">
        <v>103.767529</v>
      </c>
      <c r="O87" s="11" t="s">
        <v>60</v>
      </c>
      <c r="P87" s="1" t="s">
        <v>113</v>
      </c>
      <c r="R87" s="1" t="s">
        <v>62</v>
      </c>
      <c r="AH87" s="1" t="s">
        <v>63</v>
      </c>
      <c r="AI87" s="1" t="s">
        <v>63</v>
      </c>
      <c r="AK87" s="1" t="s">
        <v>556</v>
      </c>
      <c r="AM87" s="12" t="n">
        <v>46311</v>
      </c>
      <c r="AT87" s="1" t="s">
        <v>66</v>
      </c>
      <c r="AU87" s="1" t="str">
        <f aca="false">IF(OR(AT87=TRUE(),AT87="TRUE"),"This sample listing is provided solely to demonstrate the directory interface. It does not represent a live declaration, verification, endorsement or participating establishment.","")</f>
        <v/>
      </c>
      <c r="AV87" s="1" t="str">
        <f aca="false">IF(OR(A87="",B87="",C87="",D87=""),"Missing required fields",IF(NOT(AND(ISNUMBER(M87),ISNUMBER(N87))),"Missing coordinates","Complete"))</f>
        <v>Complete</v>
      </c>
      <c r="AW87" s="1" t="str">
        <f aca="false">IF(AND(ISNUMBER(M87),ISNUMBER(N87)),"Ready","Coordinates required")</f>
        <v>Ready</v>
      </c>
      <c r="AX87" s="1" t="str">
        <f aca="false">IF(OR(AT87=TRUE(),AT87="TRUE"),"Demo record",IF(A87="","Missing ID",IF(B87="","Missing name",IF(NOT(AND(ISNUMBER(M87),ISNUMBER(N87))),"Coordinates required","Ready for publication"))))</f>
        <v>Ready for publication</v>
      </c>
    </row>
    <row r="88" customFormat="false" ht="14.25" hidden="false" customHeight="true" outlineLevel="0" collapsed="false">
      <c r="A88" s="1" t="s">
        <v>557</v>
      </c>
      <c r="B88" s="1" t="s">
        <v>558</v>
      </c>
      <c r="C88" s="11" t="s">
        <v>52</v>
      </c>
      <c r="D88" s="1" t="s">
        <v>559</v>
      </c>
      <c r="E88" s="1" t="s">
        <v>560</v>
      </c>
      <c r="F88" s="1" t="str">
        <f aca="false">IF(C88="Singapore",IF(LEN(TEXT(E88,"000000"))=6,LEFT(TEXT(E88,"000000"),2),""),"")</f>
        <v>63</v>
      </c>
      <c r="H88" s="1" t="s">
        <v>253</v>
      </c>
      <c r="I88" s="1" t="s">
        <v>254</v>
      </c>
      <c r="J88" s="1" t="s">
        <v>255</v>
      </c>
      <c r="K88" s="11" t="s">
        <v>58</v>
      </c>
      <c r="L88" s="11" t="s">
        <v>59</v>
      </c>
      <c r="M88" s="1" t="n">
        <v>1.347375</v>
      </c>
      <c r="N88" s="1" t="n">
        <v>103.680121</v>
      </c>
      <c r="O88" s="11" t="s">
        <v>60</v>
      </c>
      <c r="P88" s="1" t="s">
        <v>73</v>
      </c>
      <c r="R88" s="1" t="s">
        <v>62</v>
      </c>
      <c r="AH88" s="1" t="s">
        <v>63</v>
      </c>
      <c r="AI88" s="1" t="s">
        <v>63</v>
      </c>
      <c r="AK88" s="1" t="s">
        <v>561</v>
      </c>
      <c r="AM88" s="12" t="n">
        <v>46311</v>
      </c>
      <c r="AT88" s="1" t="s">
        <v>66</v>
      </c>
      <c r="AU88" s="1" t="str">
        <f aca="false">IF(OR(AT88=TRUE(),AT88="TRUE"),"This sample listing is provided solely to demonstrate the directory interface. It does not represent a live declaration, verification, endorsement or participating establishment.","")</f>
        <v/>
      </c>
      <c r="AV88" s="1" t="str">
        <f aca="false">IF(OR(A88="",B88="",C88="",D88=""),"Missing required fields",IF(NOT(AND(ISNUMBER(M88),ISNUMBER(N88))),"Missing coordinates","Complete"))</f>
        <v>Complete</v>
      </c>
      <c r="AW88" s="1" t="str">
        <f aca="false">IF(AND(ISNUMBER(M88),ISNUMBER(N88)),"Ready","Coordinates required")</f>
        <v>Ready</v>
      </c>
      <c r="AX88" s="1" t="str">
        <f aca="false">IF(OR(AT88=TRUE(),AT88="TRUE"),"Demo record",IF(A88="","Missing ID",IF(B88="","Missing name",IF(NOT(AND(ISNUMBER(M88),ISNUMBER(N88))),"Coordinates required","Ready for publication"))))</f>
        <v>Ready for publication</v>
      </c>
    </row>
    <row r="89" customFormat="false" ht="14.25" hidden="false" customHeight="true" outlineLevel="0" collapsed="false">
      <c r="A89" s="1" t="s">
        <v>562</v>
      </c>
      <c r="B89" s="1" t="s">
        <v>558</v>
      </c>
      <c r="C89" s="11" t="s">
        <v>52</v>
      </c>
      <c r="D89" s="1" t="s">
        <v>563</v>
      </c>
      <c r="E89" s="1" t="s">
        <v>564</v>
      </c>
      <c r="F89" s="1" t="str">
        <f aca="false">IF(C89="Singapore",IF(LEN(TEXT(E89,"000000"))=6,LEFT(TEXT(E89,"000000"),2),""),"")</f>
        <v>26</v>
      </c>
      <c r="H89" s="1" t="s">
        <v>565</v>
      </c>
      <c r="I89" s="1" t="s">
        <v>566</v>
      </c>
      <c r="J89" s="1" t="s">
        <v>567</v>
      </c>
      <c r="K89" s="11" t="s">
        <v>58</v>
      </c>
      <c r="L89" s="11" t="s">
        <v>59</v>
      </c>
      <c r="M89" s="1" t="n">
        <v>1.323569</v>
      </c>
      <c r="N89" s="1" t="n">
        <v>103.810317</v>
      </c>
      <c r="O89" s="11" t="s">
        <v>60</v>
      </c>
      <c r="P89" s="1" t="s">
        <v>61</v>
      </c>
      <c r="R89" s="1" t="s">
        <v>62</v>
      </c>
      <c r="AH89" s="1" t="s">
        <v>63</v>
      </c>
      <c r="AI89" s="1" t="s">
        <v>63</v>
      </c>
      <c r="AK89" s="1" t="s">
        <v>454</v>
      </c>
      <c r="AM89" s="12" t="n">
        <v>46311</v>
      </c>
      <c r="AN89" s="1" t="s">
        <v>568</v>
      </c>
      <c r="AT89" s="1" t="s">
        <v>66</v>
      </c>
      <c r="AU89" s="1" t="str">
        <f aca="false">IF(OR(AT89=TRUE(),AT89="TRUE"),"This sample listing is provided solely to demonstrate the directory interface. It does not represent a live declaration, verification, endorsement or participating establishment.","")</f>
        <v/>
      </c>
      <c r="AV89" s="1" t="str">
        <f aca="false">IF(OR(A89="",B89="",C89="",D89=""),"Missing required fields",IF(NOT(AND(ISNUMBER(M89),ISNUMBER(N89))),"Missing coordinates","Complete"))</f>
        <v>Complete</v>
      </c>
      <c r="AW89" s="1" t="str">
        <f aca="false">IF(AND(ISNUMBER(M89),ISNUMBER(N89)),"Ready","Coordinates required")</f>
        <v>Ready</v>
      </c>
      <c r="AX89" s="1" t="str">
        <f aca="false">IF(OR(AT89=TRUE(),AT89="TRUE"),"Demo record",IF(A89="","Missing ID",IF(B89="","Missing name",IF(NOT(AND(ISNUMBER(M89),ISNUMBER(N89))),"Coordinates required","Ready for publication"))))</f>
        <v>Ready for publication</v>
      </c>
    </row>
    <row r="90" customFormat="false" ht="14.25" hidden="false" customHeight="true" outlineLevel="0" collapsed="false">
      <c r="A90" s="1" t="s">
        <v>569</v>
      </c>
      <c r="B90" s="1" t="s">
        <v>558</v>
      </c>
      <c r="C90" s="11" t="s">
        <v>52</v>
      </c>
      <c r="D90" s="1" t="s">
        <v>133</v>
      </c>
      <c r="F90" s="1" t="str">
        <f aca="false">IF(C90="Singapore",IF(LEN(TEXT(E90,"000000"))=6,LEFT(TEXT(E90,"000000"),2),""),"")</f>
        <v>00</v>
      </c>
      <c r="K90" s="11" t="s">
        <v>58</v>
      </c>
      <c r="L90" s="11" t="s">
        <v>59</v>
      </c>
      <c r="M90" s="1" t="n">
        <v>1.401874</v>
      </c>
      <c r="N90" s="1" t="n">
        <v>103.796081</v>
      </c>
      <c r="O90" s="11" t="s">
        <v>60</v>
      </c>
      <c r="P90" s="1" t="s">
        <v>73</v>
      </c>
      <c r="R90" s="1" t="s">
        <v>62</v>
      </c>
      <c r="AH90" s="1" t="s">
        <v>63</v>
      </c>
      <c r="AI90" s="1" t="s">
        <v>63</v>
      </c>
      <c r="AK90" s="1" t="s">
        <v>135</v>
      </c>
      <c r="AM90" s="12" t="n">
        <v>46311</v>
      </c>
      <c r="AT90" s="1" t="s">
        <v>66</v>
      </c>
      <c r="AU90" s="1" t="str">
        <f aca="false">IF(OR(AT90=TRUE(),AT90="TRUE"),"This sample listing is provided solely to demonstrate the directory interface. It does not represent a live declaration, verification, endorsement or participating establishment.","")</f>
        <v/>
      </c>
      <c r="AV90" s="1" t="str">
        <f aca="false">IF(OR(A90="",B90="",C90="",D90=""),"Missing required fields",IF(NOT(AND(ISNUMBER(M90),ISNUMBER(N90))),"Missing coordinates","Complete"))</f>
        <v>Complete</v>
      </c>
      <c r="AW90" s="1" t="str">
        <f aca="false">IF(AND(ISNUMBER(M90),ISNUMBER(N90)),"Ready","Coordinates required")</f>
        <v>Ready</v>
      </c>
      <c r="AX90" s="1" t="str">
        <f aca="false">IF(OR(AT90=TRUE(),AT90="TRUE"),"Demo record",IF(A90="","Missing ID",IF(B90="","Missing name",IF(NOT(AND(ISNUMBER(M90),ISNUMBER(N90))),"Coordinates required","Ready for publication"))))</f>
        <v>Ready for publication</v>
      </c>
    </row>
    <row r="91" customFormat="false" ht="14.25" hidden="false" customHeight="true" outlineLevel="0" collapsed="false">
      <c r="A91" s="1" t="s">
        <v>570</v>
      </c>
      <c r="B91" s="1" t="s">
        <v>571</v>
      </c>
      <c r="C91" s="11" t="s">
        <v>52</v>
      </c>
      <c r="D91" s="1" t="s">
        <v>572</v>
      </c>
      <c r="E91" s="1" t="s">
        <v>573</v>
      </c>
      <c r="F91" s="1" t="str">
        <f aca="false">IF(C91="Singapore",IF(LEN(TEXT(E91,"000000"))=6,LEFT(TEXT(E91,"000000"),2),""),"")</f>
        <v>57</v>
      </c>
      <c r="H91" s="1" t="s">
        <v>313</v>
      </c>
      <c r="I91" s="1" t="s">
        <v>314</v>
      </c>
      <c r="J91" s="1" t="s">
        <v>315</v>
      </c>
      <c r="K91" s="11"/>
      <c r="L91" s="11" t="s">
        <v>112</v>
      </c>
      <c r="M91" s="1" t="n">
        <v>1.357473</v>
      </c>
      <c r="N91" s="1" t="n">
        <v>103.844294</v>
      </c>
      <c r="O91" s="11" t="s">
        <v>60</v>
      </c>
      <c r="P91" s="1" t="s">
        <v>113</v>
      </c>
      <c r="R91" s="1" t="s">
        <v>62</v>
      </c>
      <c r="AH91" s="1" t="s">
        <v>63</v>
      </c>
      <c r="AI91" s="1" t="s">
        <v>63</v>
      </c>
      <c r="AK91" s="1" t="s">
        <v>574</v>
      </c>
      <c r="AM91" s="12" t="s">
        <v>65</v>
      </c>
      <c r="AT91" s="1" t="s">
        <v>66</v>
      </c>
      <c r="AU91" s="1" t="str">
        <f aca="false">IF(OR(AT91=TRUE(),AT91="TRUE"),"This sample listing is provided solely to demonstrate the directory interface. It does not represent a live declaration, verification, endorsement or participating establishment.","")</f>
        <v/>
      </c>
      <c r="AV91" s="1" t="str">
        <f aca="false">IF(OR(A91="",B91="",C91="",D91=""),"Missing required fields",IF(NOT(AND(ISNUMBER(M91),ISNUMBER(N91))),"Missing coordinates","Complete"))</f>
        <v>Complete</v>
      </c>
      <c r="AW91" s="1" t="str">
        <f aca="false">IF(AND(ISNUMBER(M91),ISNUMBER(N91)),"Ready","Coordinates required")</f>
        <v>Ready</v>
      </c>
      <c r="AX91" s="1" t="str">
        <f aca="false">IF(OR(AT91=TRUE(),AT91="TRUE"),"Demo record",IF(A91="","Missing ID",IF(B91="","Missing name",IF(NOT(AND(ISNUMBER(M91),ISNUMBER(N91))),"Coordinates required","Ready for publication"))))</f>
        <v>Ready for publication</v>
      </c>
    </row>
    <row r="92" customFormat="false" ht="14.25" hidden="false" customHeight="true" outlineLevel="0" collapsed="false">
      <c r="A92" s="1" t="s">
        <v>575</v>
      </c>
      <c r="B92" s="1" t="s">
        <v>576</v>
      </c>
      <c r="C92" s="11" t="s">
        <v>52</v>
      </c>
      <c r="D92" s="1" t="s">
        <v>292</v>
      </c>
      <c r="E92" s="1" t="s">
        <v>293</v>
      </c>
      <c r="F92" s="1" t="str">
        <f aca="false">IF(C92="Singapore",IF(LEN(TEXT(E92,"000000"))=6,LEFT(TEXT(E92,"000000"),2),""),"")</f>
        <v>33</v>
      </c>
      <c r="H92" s="1" t="s">
        <v>55</v>
      </c>
      <c r="I92" s="1" t="s">
        <v>56</v>
      </c>
      <c r="J92" s="1" t="s">
        <v>57</v>
      </c>
      <c r="K92" s="11" t="s">
        <v>90</v>
      </c>
      <c r="L92" s="11" t="s">
        <v>59</v>
      </c>
      <c r="M92" s="1" t="n">
        <v>1.312378</v>
      </c>
      <c r="N92" s="1" t="n">
        <v>103.86302</v>
      </c>
      <c r="O92" s="11" t="s">
        <v>60</v>
      </c>
      <c r="P92" s="1" t="s">
        <v>73</v>
      </c>
      <c r="R92" s="1" t="s">
        <v>62</v>
      </c>
      <c r="AH92" s="1" t="s">
        <v>63</v>
      </c>
      <c r="AI92" s="1" t="s">
        <v>63</v>
      </c>
      <c r="AK92" s="1" t="s">
        <v>232</v>
      </c>
      <c r="AM92" s="12" t="n">
        <v>46311</v>
      </c>
      <c r="AT92" s="1" t="s">
        <v>66</v>
      </c>
      <c r="AU92" s="1" t="str">
        <f aca="false">IF(OR(AT92=TRUE(),AT92="TRUE"),"This sample listing is provided solely to demonstrate the directory interface. It does not represent a live declaration, verification, endorsement or participating establishment.","")</f>
        <v/>
      </c>
      <c r="AV92" s="1" t="str">
        <f aca="false">IF(OR(A92="",B92="",C92="",D92=""),"Missing required fields",IF(NOT(AND(ISNUMBER(M92),ISNUMBER(N92))),"Missing coordinates","Complete"))</f>
        <v>Complete</v>
      </c>
      <c r="AW92" s="1" t="str">
        <f aca="false">IF(AND(ISNUMBER(M92),ISNUMBER(N92)),"Ready","Coordinates required")</f>
        <v>Ready</v>
      </c>
      <c r="AX92" s="1" t="str">
        <f aca="false">IF(OR(AT92=TRUE(),AT92="TRUE"),"Demo record",IF(A92="","Missing ID",IF(B92="","Missing name",IF(NOT(AND(ISNUMBER(M92),ISNUMBER(N92))),"Coordinates required","Ready for publication"))))</f>
        <v>Ready for publication</v>
      </c>
    </row>
    <row r="93" customFormat="false" ht="14.25" hidden="false" customHeight="true" outlineLevel="0" collapsed="false">
      <c r="A93" s="1" t="s">
        <v>577</v>
      </c>
      <c r="B93" s="1" t="s">
        <v>578</v>
      </c>
      <c r="C93" s="11" t="s">
        <v>52</v>
      </c>
      <c r="D93" s="1" t="s">
        <v>579</v>
      </c>
      <c r="E93" s="1" t="s">
        <v>580</v>
      </c>
      <c r="F93" s="1" t="str">
        <f aca="false">IF(C93="Singapore",IF(LEN(TEXT(E93,"000000"))=6,LEFT(TEXT(E93,"000000"),2),""),"")</f>
        <v>75</v>
      </c>
      <c r="H93" s="1" t="s">
        <v>581</v>
      </c>
      <c r="I93" s="1" t="s">
        <v>582</v>
      </c>
      <c r="J93" s="1" t="s">
        <v>583</v>
      </c>
      <c r="K93" s="11" t="s">
        <v>225</v>
      </c>
      <c r="L93" s="11" t="s">
        <v>59</v>
      </c>
      <c r="M93" s="1" t="n">
        <v>1.453621</v>
      </c>
      <c r="N93" s="1" t="n">
        <v>103.819576</v>
      </c>
      <c r="O93" s="11" t="s">
        <v>60</v>
      </c>
      <c r="P93" s="1" t="s">
        <v>73</v>
      </c>
      <c r="R93" s="1" t="s">
        <v>62</v>
      </c>
      <c r="AH93" s="1" t="s">
        <v>63</v>
      </c>
      <c r="AI93" s="1" t="s">
        <v>63</v>
      </c>
      <c r="AK93" s="1" t="s">
        <v>584</v>
      </c>
      <c r="AM93" s="12" t="n">
        <v>46311</v>
      </c>
      <c r="AT93" s="1" t="s">
        <v>66</v>
      </c>
      <c r="AU93" s="1" t="str">
        <f aca="false">IF(OR(AT93=TRUE(),AT93="TRUE"),"This sample listing is provided solely to demonstrate the directory interface. It does not represent a live declaration, verification, endorsement or participating establishment.","")</f>
        <v/>
      </c>
      <c r="AV93" s="1" t="str">
        <f aca="false">IF(OR(A93="",B93="",C93="",D93=""),"Missing required fields",IF(NOT(AND(ISNUMBER(M93),ISNUMBER(N93))),"Missing coordinates","Complete"))</f>
        <v>Complete</v>
      </c>
      <c r="AW93" s="1" t="str">
        <f aca="false">IF(AND(ISNUMBER(M93),ISNUMBER(N93)),"Ready","Coordinates required")</f>
        <v>Ready</v>
      </c>
      <c r="AX93" s="1" t="str">
        <f aca="false">IF(OR(AT93=TRUE(),AT93="TRUE"),"Demo record",IF(A93="","Missing ID",IF(B93="","Missing name",IF(NOT(AND(ISNUMBER(M93),ISNUMBER(N93))),"Coordinates required","Ready for publication"))))</f>
        <v>Ready for publication</v>
      </c>
    </row>
    <row r="94" customFormat="false" ht="14.25" hidden="false" customHeight="true" outlineLevel="0" collapsed="false">
      <c r="A94" s="1" t="s">
        <v>585</v>
      </c>
      <c r="B94" s="1" t="s">
        <v>586</v>
      </c>
      <c r="C94" s="11" t="s">
        <v>52</v>
      </c>
      <c r="D94" s="1" t="s">
        <v>587</v>
      </c>
      <c r="E94" s="1" t="s">
        <v>588</v>
      </c>
      <c r="F94" s="1" t="str">
        <f aca="false">IF(C94="Singapore",IF(LEN(TEXT(E94,"000000"))=6,LEFT(TEXT(E94,"000000"),2),""),"")</f>
        <v>19</v>
      </c>
      <c r="H94" s="1" t="s">
        <v>222</v>
      </c>
      <c r="I94" s="1" t="s">
        <v>223</v>
      </c>
      <c r="J94" s="1" t="s">
        <v>224</v>
      </c>
      <c r="K94" s="11" t="s">
        <v>589</v>
      </c>
      <c r="L94" s="11" t="s">
        <v>59</v>
      </c>
      <c r="M94" s="1" t="n">
        <v>1.303575</v>
      </c>
      <c r="N94" s="1" t="n">
        <v>103.859068</v>
      </c>
      <c r="O94" s="11" t="s">
        <v>60</v>
      </c>
      <c r="P94" s="1" t="s">
        <v>73</v>
      </c>
      <c r="R94" s="1" t="s">
        <v>62</v>
      </c>
      <c r="AH94" s="1" t="s">
        <v>63</v>
      </c>
      <c r="AI94" s="1" t="s">
        <v>63</v>
      </c>
      <c r="AK94" s="1" t="s">
        <v>590</v>
      </c>
      <c r="AM94" s="12" t="s">
        <v>65</v>
      </c>
      <c r="AT94" s="1" t="s">
        <v>66</v>
      </c>
      <c r="AU94" s="1" t="str">
        <f aca="false">IF(OR(AT94=TRUE(),AT94="TRUE"),"This sample listing is provided solely to demonstrate the directory interface. It does not represent a live declaration, verification, endorsement or participating establishment.","")</f>
        <v/>
      </c>
      <c r="AV94" s="1" t="str">
        <f aca="false">IF(OR(A94="",B94="",C94="",D94=""),"Missing required fields",IF(NOT(AND(ISNUMBER(M94),ISNUMBER(N94))),"Missing coordinates","Complete"))</f>
        <v>Complete</v>
      </c>
      <c r="AW94" s="1" t="str">
        <f aca="false">IF(AND(ISNUMBER(M94),ISNUMBER(N94)),"Ready","Coordinates required")</f>
        <v>Ready</v>
      </c>
      <c r="AX94" s="1" t="str">
        <f aca="false">IF(OR(AT94=TRUE(),AT94="TRUE"),"Demo record",IF(A94="","Missing ID",IF(B94="","Missing name",IF(NOT(AND(ISNUMBER(M94),ISNUMBER(N94))),"Coordinates required","Ready for publication"))))</f>
        <v>Ready for publication</v>
      </c>
    </row>
    <row r="95" customFormat="false" ht="14.25" hidden="false" customHeight="true" outlineLevel="0" collapsed="false">
      <c r="A95" s="1" t="s">
        <v>591</v>
      </c>
      <c r="B95" s="1" t="s">
        <v>592</v>
      </c>
      <c r="C95" s="11" t="s">
        <v>52</v>
      </c>
      <c r="D95" s="1" t="s">
        <v>593</v>
      </c>
      <c r="E95" s="1" t="s">
        <v>594</v>
      </c>
      <c r="F95" s="1" t="str">
        <f aca="false">IF(C95="Singapore",IF(LEN(TEXT(E95,"000000"))=6,LEFT(TEXT(E95,"000000"),2),""),"")</f>
        <v>19</v>
      </c>
      <c r="H95" s="1" t="s">
        <v>222</v>
      </c>
      <c r="I95" s="1" t="s">
        <v>223</v>
      </c>
      <c r="J95" s="1" t="s">
        <v>224</v>
      </c>
      <c r="K95" s="11"/>
      <c r="L95" s="11" t="s">
        <v>247</v>
      </c>
      <c r="M95" s="1" t="n">
        <v>1.301759</v>
      </c>
      <c r="N95" s="1" t="n">
        <v>103.859604</v>
      </c>
      <c r="O95" s="11" t="s">
        <v>60</v>
      </c>
      <c r="P95" s="1" t="s">
        <v>61</v>
      </c>
      <c r="R95" s="1" t="s">
        <v>62</v>
      </c>
      <c r="AH95" s="1" t="s">
        <v>63</v>
      </c>
      <c r="AI95" s="1" t="s">
        <v>63</v>
      </c>
      <c r="AK95" s="1" t="s">
        <v>595</v>
      </c>
      <c r="AM95" s="12" t="s">
        <v>65</v>
      </c>
      <c r="AN95" s="1" t="s">
        <v>596</v>
      </c>
      <c r="AT95" s="1" t="s">
        <v>66</v>
      </c>
      <c r="AU95" s="1" t="str">
        <f aca="false">IF(OR(AT95=TRUE(),AT95="TRUE"),"This sample listing is provided solely to demonstrate the directory interface. It does not represent a live declaration, verification, endorsement or participating establishment.","")</f>
        <v/>
      </c>
      <c r="AV95" s="1" t="str">
        <f aca="false">IF(OR(A95="",B95="",C95="",D95=""),"Missing required fields",IF(NOT(AND(ISNUMBER(M95),ISNUMBER(N95))),"Missing coordinates","Complete"))</f>
        <v>Complete</v>
      </c>
      <c r="AW95" s="1" t="str">
        <f aca="false">IF(AND(ISNUMBER(M95),ISNUMBER(N95)),"Ready","Coordinates required")</f>
        <v>Ready</v>
      </c>
      <c r="AX95" s="1" t="str">
        <f aca="false">IF(OR(AT95=TRUE(),AT95="TRUE"),"Demo record",IF(A95="","Missing ID",IF(B95="","Missing name",IF(NOT(AND(ISNUMBER(M95),ISNUMBER(N95))),"Coordinates required","Ready for publication"))))</f>
        <v>Ready for publication</v>
      </c>
    </row>
    <row r="96" customFormat="false" ht="14.25" hidden="false" customHeight="true" outlineLevel="0" collapsed="false">
      <c r="A96" s="1" t="s">
        <v>597</v>
      </c>
      <c r="B96" s="1" t="s">
        <v>598</v>
      </c>
      <c r="C96" s="11" t="s">
        <v>52</v>
      </c>
      <c r="D96" s="1" t="s">
        <v>599</v>
      </c>
      <c r="E96" s="1" t="s">
        <v>600</v>
      </c>
      <c r="F96" s="1" t="str">
        <f aca="false">IF(C96="Singapore",IF(LEN(TEXT(E96,"000000"))=6,LEFT(TEXT(E96,"000000"),2),""),"")</f>
        <v>17</v>
      </c>
      <c r="H96" s="1" t="s">
        <v>601</v>
      </c>
      <c r="I96" s="1" t="s">
        <v>602</v>
      </c>
      <c r="J96" s="1" t="s">
        <v>603</v>
      </c>
      <c r="K96" s="11"/>
      <c r="L96" s="11" t="s">
        <v>112</v>
      </c>
      <c r="M96" s="1" t="n">
        <v>1.296306</v>
      </c>
      <c r="N96" s="1" t="n">
        <v>103.850311</v>
      </c>
      <c r="O96" s="11" t="s">
        <v>60</v>
      </c>
      <c r="P96" s="1" t="s">
        <v>113</v>
      </c>
      <c r="R96" s="1" t="s">
        <v>62</v>
      </c>
      <c r="AH96" s="1" t="s">
        <v>63</v>
      </c>
      <c r="AI96" s="1" t="s">
        <v>63</v>
      </c>
      <c r="AK96" s="1" t="s">
        <v>604</v>
      </c>
      <c r="AM96" s="12" t="n">
        <v>46311</v>
      </c>
      <c r="AT96" s="1" t="s">
        <v>66</v>
      </c>
      <c r="AU96" s="1" t="str">
        <f aca="false">IF(OR(AT96=TRUE(),AT96="TRUE"),"This sample listing is provided solely to demonstrate the directory interface. It does not represent a live declaration, verification, endorsement or participating establishment.","")</f>
        <v/>
      </c>
      <c r="AV96" s="1" t="str">
        <f aca="false">IF(OR(A96="",B96="",C96="",D96=""),"Missing required fields",IF(NOT(AND(ISNUMBER(M96),ISNUMBER(N96))),"Missing coordinates","Complete"))</f>
        <v>Complete</v>
      </c>
      <c r="AW96" s="1" t="str">
        <f aca="false">IF(AND(ISNUMBER(M96),ISNUMBER(N96)),"Ready","Coordinates required")</f>
        <v>Ready</v>
      </c>
      <c r="AX96" s="1" t="str">
        <f aca="false">IF(OR(AT96=TRUE(),AT96="TRUE"),"Demo record",IF(A96="","Missing ID",IF(B96="","Missing name",IF(NOT(AND(ISNUMBER(M96),ISNUMBER(N96))),"Coordinates required","Ready for publication"))))</f>
        <v>Ready for publication</v>
      </c>
    </row>
    <row r="97" customFormat="false" ht="14.25" hidden="false" customHeight="true" outlineLevel="0" collapsed="false">
      <c r="A97" s="1" t="s">
        <v>605</v>
      </c>
      <c r="B97" s="1" t="s">
        <v>606</v>
      </c>
      <c r="C97" s="11" t="s">
        <v>52</v>
      </c>
      <c r="D97" s="1" t="s">
        <v>607</v>
      </c>
      <c r="E97" s="1" t="s">
        <v>608</v>
      </c>
      <c r="F97" s="1" t="str">
        <f aca="false">IF(C97="Singapore",IF(LEN(TEXT(E97,"000000"))=6,LEFT(TEXT(E97,"000000"),2),""),"")</f>
        <v>18</v>
      </c>
      <c r="H97" s="1" t="s">
        <v>222</v>
      </c>
      <c r="I97" s="1" t="s">
        <v>223</v>
      </c>
      <c r="J97" s="1" t="s">
        <v>224</v>
      </c>
      <c r="K97" s="11" t="s">
        <v>609</v>
      </c>
      <c r="L97" s="11" t="s">
        <v>59</v>
      </c>
      <c r="M97" s="1" t="n">
        <v>1.301306</v>
      </c>
      <c r="N97" s="1" t="n">
        <v>103.85837</v>
      </c>
      <c r="O97" s="11" t="s">
        <v>60</v>
      </c>
      <c r="P97" s="1" t="s">
        <v>73</v>
      </c>
      <c r="R97" s="1" t="s">
        <v>62</v>
      </c>
      <c r="AH97" s="1" t="s">
        <v>63</v>
      </c>
      <c r="AI97" s="1" t="s">
        <v>63</v>
      </c>
      <c r="AK97" s="1" t="s">
        <v>610</v>
      </c>
      <c r="AM97" s="12" t="s">
        <v>65</v>
      </c>
      <c r="AN97" s="1" t="s">
        <v>611</v>
      </c>
      <c r="AT97" s="1" t="s">
        <v>66</v>
      </c>
      <c r="AU97" s="1" t="str">
        <f aca="false">IF(OR(AT97=TRUE(),AT97="TRUE"),"This sample listing is provided solely to demonstrate the directory interface. It does not represent a live declaration, verification, endorsement or participating establishment.","")</f>
        <v/>
      </c>
      <c r="AV97" s="1" t="str">
        <f aca="false">IF(OR(A97="",B97="",C97="",D97=""),"Missing required fields",IF(NOT(AND(ISNUMBER(M97),ISNUMBER(N97))),"Missing coordinates","Complete"))</f>
        <v>Complete</v>
      </c>
      <c r="AW97" s="1" t="str">
        <f aca="false">IF(AND(ISNUMBER(M97),ISNUMBER(N97)),"Ready","Coordinates required")</f>
        <v>Ready</v>
      </c>
      <c r="AX97" s="1" t="str">
        <f aca="false">IF(OR(AT97=TRUE(),AT97="TRUE"),"Demo record",IF(A97="","Missing ID",IF(B97="","Missing name",IF(NOT(AND(ISNUMBER(M97),ISNUMBER(N97))),"Coordinates required","Ready for publication"))))</f>
        <v>Ready for publication</v>
      </c>
    </row>
    <row r="98" customFormat="false" ht="14.25" hidden="false" customHeight="true" outlineLevel="0" collapsed="false">
      <c r="A98" s="1" t="s">
        <v>612</v>
      </c>
      <c r="B98" s="1" t="s">
        <v>613</v>
      </c>
      <c r="C98" s="11" t="s">
        <v>52</v>
      </c>
      <c r="D98" s="1" t="s">
        <v>614</v>
      </c>
      <c r="E98" s="1" t="s">
        <v>615</v>
      </c>
      <c r="F98" s="1" t="str">
        <f aca="false">IF(C98="Singapore",IF(LEN(TEXT(E98,"000000"))=6,LEFT(TEXT(E98,"000000"),2),""),"")</f>
        <v>19</v>
      </c>
      <c r="H98" s="1" t="s">
        <v>222</v>
      </c>
      <c r="I98" s="1" t="s">
        <v>223</v>
      </c>
      <c r="J98" s="1" t="s">
        <v>224</v>
      </c>
      <c r="K98" s="11" t="s">
        <v>616</v>
      </c>
      <c r="L98" s="11" t="s">
        <v>59</v>
      </c>
      <c r="M98" s="1" t="n">
        <v>1.300539</v>
      </c>
      <c r="N98" s="1" t="n">
        <v>103.859854</v>
      </c>
      <c r="O98" s="11" t="s">
        <v>60</v>
      </c>
      <c r="P98" s="1" t="s">
        <v>73</v>
      </c>
      <c r="R98" s="1" t="s">
        <v>62</v>
      </c>
      <c r="AH98" s="1" t="s">
        <v>63</v>
      </c>
      <c r="AI98" s="1" t="s">
        <v>63</v>
      </c>
      <c r="AK98" s="1" t="s">
        <v>617</v>
      </c>
      <c r="AM98" s="12" t="n">
        <v>46311</v>
      </c>
      <c r="AN98" s="1" t="s">
        <v>618</v>
      </c>
      <c r="AT98" s="1" t="s">
        <v>66</v>
      </c>
      <c r="AU98" s="1" t="str">
        <f aca="false">IF(OR(AT98=TRUE(),AT98="TRUE"),"This sample listing is provided solely to demonstrate the directory interface. It does not represent a live declaration, verification, endorsement or participating establishment.","")</f>
        <v/>
      </c>
      <c r="AV98" s="1" t="str">
        <f aca="false">IF(OR(A98="",B98="",C98="",D98=""),"Missing required fields",IF(NOT(AND(ISNUMBER(M98),ISNUMBER(N98))),"Missing coordinates","Complete"))</f>
        <v>Complete</v>
      </c>
      <c r="AW98" s="1" t="str">
        <f aca="false">IF(AND(ISNUMBER(M98),ISNUMBER(N98)),"Ready","Coordinates required")</f>
        <v>Ready</v>
      </c>
      <c r="AX98" s="1" t="str">
        <f aca="false">IF(OR(AT98=TRUE(),AT98="TRUE"),"Demo record",IF(A98="","Missing ID",IF(B98="","Missing name",IF(NOT(AND(ISNUMBER(M98),ISNUMBER(N98))),"Coordinates required","Ready for publication"))))</f>
        <v>Ready for publication</v>
      </c>
    </row>
    <row r="99" customFormat="false" ht="14.25" hidden="false" customHeight="true" outlineLevel="0" collapsed="false">
      <c r="A99" s="1" t="s">
        <v>619</v>
      </c>
      <c r="B99" s="1" t="s">
        <v>620</v>
      </c>
      <c r="C99" s="11" t="s">
        <v>52</v>
      </c>
      <c r="D99" s="1" t="s">
        <v>77</v>
      </c>
      <c r="E99" s="1" t="s">
        <v>78</v>
      </c>
      <c r="F99" s="1" t="str">
        <f aca="false">IF(C99="Singapore",IF(LEN(TEXT(E99,"000000"))=6,LEFT(TEXT(E99,"000000"),2),""),"")</f>
        <v>51</v>
      </c>
      <c r="H99" s="1" t="s">
        <v>70</v>
      </c>
      <c r="I99" s="1" t="s">
        <v>71</v>
      </c>
      <c r="J99" s="1" t="s">
        <v>72</v>
      </c>
      <c r="K99" s="11" t="s">
        <v>432</v>
      </c>
      <c r="L99" s="11" t="s">
        <v>59</v>
      </c>
      <c r="M99" s="1" t="n">
        <v>1.373513</v>
      </c>
      <c r="N99" s="1" t="n">
        <v>103.948413</v>
      </c>
      <c r="O99" s="11" t="s">
        <v>60</v>
      </c>
      <c r="P99" s="1" t="s">
        <v>73</v>
      </c>
      <c r="R99" s="1" t="s">
        <v>62</v>
      </c>
      <c r="AH99" s="1" t="s">
        <v>63</v>
      </c>
      <c r="AI99" s="1" t="s">
        <v>63</v>
      </c>
      <c r="AK99" s="1" t="s">
        <v>79</v>
      </c>
      <c r="AM99" s="12" t="n">
        <v>46311</v>
      </c>
      <c r="AN99" s="1" t="s">
        <v>621</v>
      </c>
      <c r="AT99" s="1" t="s">
        <v>66</v>
      </c>
      <c r="AU99" s="1" t="str">
        <f aca="false">IF(OR(AT99=TRUE(),AT99="TRUE"),"This sample listing is provided solely to demonstrate the directory interface. It does not represent a live declaration, verification, endorsement or participating establishment.","")</f>
        <v/>
      </c>
      <c r="AV99" s="1" t="str">
        <f aca="false">IF(OR(A99="",B99="",C99="",D99=""),"Missing required fields",IF(NOT(AND(ISNUMBER(M99),ISNUMBER(N99))),"Missing coordinates","Complete"))</f>
        <v>Complete</v>
      </c>
      <c r="AW99" s="1" t="str">
        <f aca="false">IF(AND(ISNUMBER(M99),ISNUMBER(N99)),"Ready","Coordinates required")</f>
        <v>Ready</v>
      </c>
      <c r="AX99" s="1" t="str">
        <f aca="false">IF(OR(AT99=TRUE(),AT99="TRUE"),"Demo record",IF(A99="","Missing ID",IF(B99="","Missing name",IF(NOT(AND(ISNUMBER(M99),ISNUMBER(N99))),"Coordinates required","Ready for publication"))))</f>
        <v>Ready for publication</v>
      </c>
    </row>
    <row r="100" customFormat="false" ht="14.25" hidden="false" customHeight="true" outlineLevel="0" collapsed="false">
      <c r="A100" s="1" t="s">
        <v>622</v>
      </c>
      <c r="B100" s="1" t="s">
        <v>623</v>
      </c>
      <c r="C100" s="11" t="s">
        <v>52</v>
      </c>
      <c r="D100" s="1" t="s">
        <v>624</v>
      </c>
      <c r="E100" s="1" t="s">
        <v>625</v>
      </c>
      <c r="F100" s="1" t="str">
        <f aca="false">IF(C100="Singapore",IF(LEN(TEXT(E100,"000000"))=6,LEFT(TEXT(E100,"000000"),2),""),"")</f>
        <v>67</v>
      </c>
      <c r="H100" s="1" t="s">
        <v>87</v>
      </c>
      <c r="I100" s="1" t="s">
        <v>88</v>
      </c>
      <c r="J100" s="1" t="s">
        <v>89</v>
      </c>
      <c r="K100" s="11" t="s">
        <v>626</v>
      </c>
      <c r="L100" s="11" t="s">
        <v>59</v>
      </c>
      <c r="M100" s="1" t="n">
        <v>1.37829</v>
      </c>
      <c r="N100" s="1" t="n">
        <v>103.763462</v>
      </c>
      <c r="O100" s="11" t="s">
        <v>60</v>
      </c>
      <c r="P100" s="1" t="s">
        <v>73</v>
      </c>
      <c r="R100" s="1" t="s">
        <v>62</v>
      </c>
      <c r="AH100" s="1" t="s">
        <v>63</v>
      </c>
      <c r="AI100" s="1" t="s">
        <v>63</v>
      </c>
      <c r="AK100" s="1" t="s">
        <v>610</v>
      </c>
      <c r="AM100" s="12" t="s">
        <v>65</v>
      </c>
      <c r="AN100" s="1" t="s">
        <v>627</v>
      </c>
      <c r="AT100" s="1" t="s">
        <v>66</v>
      </c>
      <c r="AU100" s="1" t="str">
        <f aca="false">IF(OR(AT100=TRUE(),AT100="TRUE"),"This sample listing is provided solely to demonstrate the directory interface. It does not represent a live declaration, verification, endorsement or participating establishment.","")</f>
        <v/>
      </c>
      <c r="AV100" s="1" t="str">
        <f aca="false">IF(OR(A100="",B100="",C100="",D100=""),"Missing required fields",IF(NOT(AND(ISNUMBER(M100),ISNUMBER(N100))),"Missing coordinates","Complete"))</f>
        <v>Complete</v>
      </c>
      <c r="AW100" s="1" t="str">
        <f aca="false">IF(AND(ISNUMBER(M100),ISNUMBER(N100)),"Ready","Coordinates required")</f>
        <v>Ready</v>
      </c>
      <c r="AX100" s="1" t="str">
        <f aca="false">IF(OR(AT100=TRUE(),AT100="TRUE"),"Demo record",IF(A100="","Missing ID",IF(B100="","Missing name",IF(NOT(AND(ISNUMBER(M100),ISNUMBER(N100))),"Coordinates required","Ready for publication"))))</f>
        <v>Ready for publication</v>
      </c>
    </row>
    <row r="101" customFormat="false" ht="14.25" hidden="false" customHeight="true" outlineLevel="0" collapsed="false">
      <c r="A101" s="1" t="s">
        <v>628</v>
      </c>
      <c r="B101" s="1" t="s">
        <v>623</v>
      </c>
      <c r="C101" s="11" t="s">
        <v>52</v>
      </c>
      <c r="D101" s="1" t="s">
        <v>68</v>
      </c>
      <c r="E101" s="1" t="s">
        <v>69</v>
      </c>
      <c r="F101" s="1" t="str">
        <f aca="false">IF(C101="Singapore",IF(LEN(TEXT(E101,"000000"))=6,LEFT(TEXT(E101,"000000"),2),""),"")</f>
        <v>51</v>
      </c>
      <c r="H101" s="1" t="s">
        <v>70</v>
      </c>
      <c r="I101" s="1" t="s">
        <v>71</v>
      </c>
      <c r="J101" s="1" t="s">
        <v>72</v>
      </c>
      <c r="K101" s="11" t="s">
        <v>626</v>
      </c>
      <c r="L101" s="11" t="s">
        <v>59</v>
      </c>
      <c r="M101" s="1" t="n">
        <v>1.372583</v>
      </c>
      <c r="N101" s="1" t="n">
        <v>103.949851</v>
      </c>
      <c r="O101" s="11" t="s">
        <v>60</v>
      </c>
      <c r="P101" s="1" t="s">
        <v>73</v>
      </c>
      <c r="R101" s="1" t="s">
        <v>62</v>
      </c>
      <c r="AH101" s="1" t="s">
        <v>63</v>
      </c>
      <c r="AI101" s="1" t="s">
        <v>63</v>
      </c>
      <c r="AK101" s="1" t="s">
        <v>79</v>
      </c>
      <c r="AM101" s="12" t="n">
        <v>46311</v>
      </c>
      <c r="AN101" s="1" t="s">
        <v>627</v>
      </c>
      <c r="AT101" s="1" t="s">
        <v>66</v>
      </c>
      <c r="AU101" s="1" t="str">
        <f aca="false">IF(OR(AT101=TRUE(),AT101="TRUE"),"This sample listing is provided solely to demonstrate the directory interface. It does not represent a live declaration, verification, endorsement or participating establishment.","")</f>
        <v/>
      </c>
      <c r="AV101" s="1" t="str">
        <f aca="false">IF(OR(A101="",B101="",C101="",D101=""),"Missing required fields",IF(NOT(AND(ISNUMBER(M101),ISNUMBER(N101))),"Missing coordinates","Complete"))</f>
        <v>Complete</v>
      </c>
      <c r="AW101" s="1" t="str">
        <f aca="false">IF(AND(ISNUMBER(M101),ISNUMBER(N101)),"Ready","Coordinates required")</f>
        <v>Ready</v>
      </c>
      <c r="AX101" s="1" t="str">
        <f aca="false">IF(OR(AT101=TRUE(),AT101="TRUE"),"Demo record",IF(A101="","Missing ID",IF(B101="","Missing name",IF(NOT(AND(ISNUMBER(M101),ISNUMBER(N101))),"Coordinates required","Ready for publication"))))</f>
        <v>Ready for publication</v>
      </c>
    </row>
    <row r="102" customFormat="false" ht="14.25" hidden="false" customHeight="true" outlineLevel="0" collapsed="false">
      <c r="A102" s="1" t="s">
        <v>629</v>
      </c>
      <c r="B102" s="1" t="s">
        <v>630</v>
      </c>
      <c r="C102" s="11" t="s">
        <v>52</v>
      </c>
      <c r="D102" s="1" t="s">
        <v>631</v>
      </c>
      <c r="F102" s="1" t="str">
        <f aca="false">IF(C102="Singapore",IF(LEN(TEXT(E102,"000000"))=6,LEFT(TEXT(E102,"000000"),2),""),"")</f>
        <v>00</v>
      </c>
      <c r="K102" s="11"/>
      <c r="L102" s="11" t="s">
        <v>59</v>
      </c>
      <c r="M102" s="1" t="n">
        <v>1.360781</v>
      </c>
      <c r="N102" s="1" t="n">
        <v>103.990723</v>
      </c>
      <c r="O102" s="11" t="s">
        <v>60</v>
      </c>
      <c r="P102" s="1" t="s">
        <v>73</v>
      </c>
      <c r="R102" s="1" t="s">
        <v>62</v>
      </c>
      <c r="AH102" s="1" t="s">
        <v>63</v>
      </c>
      <c r="AI102" s="1" t="s">
        <v>63</v>
      </c>
      <c r="AK102" s="1" t="s">
        <v>632</v>
      </c>
      <c r="AM102" s="12" t="n">
        <v>46311</v>
      </c>
      <c r="AT102" s="1" t="s">
        <v>66</v>
      </c>
      <c r="AU102" s="1" t="str">
        <f aca="false">IF(OR(AT102=TRUE(),AT102="TRUE"),"This sample listing is provided solely to demonstrate the directory interface. It does not represent a live declaration, verification, endorsement or participating establishment.","")</f>
        <v/>
      </c>
      <c r="AV102" s="1" t="str">
        <f aca="false">IF(OR(A102="",B102="",C102="",D102=""),"Missing required fields",IF(NOT(AND(ISNUMBER(M102),ISNUMBER(N102))),"Missing coordinates","Complete"))</f>
        <v>Complete</v>
      </c>
      <c r="AW102" s="1" t="str">
        <f aca="false">IF(AND(ISNUMBER(M102),ISNUMBER(N102)),"Ready","Coordinates required")</f>
        <v>Ready</v>
      </c>
      <c r="AX102" s="1" t="str">
        <f aca="false">IF(OR(AT102=TRUE(),AT102="TRUE"),"Demo record",IF(A102="","Missing ID",IF(B102="","Missing name",IF(NOT(AND(ISNUMBER(M102),ISNUMBER(N102))),"Coordinates required","Ready for publication"))))</f>
        <v>Ready for publication</v>
      </c>
    </row>
    <row r="103" customFormat="false" ht="14.25" hidden="false" customHeight="true" outlineLevel="0" collapsed="false">
      <c r="A103" s="1" t="s">
        <v>633</v>
      </c>
      <c r="B103" s="1" t="s">
        <v>634</v>
      </c>
      <c r="C103" s="11" t="s">
        <v>52</v>
      </c>
      <c r="D103" s="1" t="s">
        <v>635</v>
      </c>
      <c r="E103" s="1" t="s">
        <v>636</v>
      </c>
      <c r="F103" s="1" t="str">
        <f aca="false">IF(C103="Singapore",IF(LEN(TEXT(E103,"000000"))=6,LEFT(TEXT(E103,"000000"),2),""),"")</f>
        <v>19</v>
      </c>
      <c r="H103" s="1" t="s">
        <v>222</v>
      </c>
      <c r="I103" s="1" t="s">
        <v>223</v>
      </c>
      <c r="J103" s="1" t="s">
        <v>224</v>
      </c>
      <c r="K103" s="11" t="s">
        <v>276</v>
      </c>
      <c r="L103" s="11" t="s">
        <v>197</v>
      </c>
      <c r="M103" s="1" t="n">
        <v>1.302335</v>
      </c>
      <c r="N103" s="1" t="n">
        <v>103.859604</v>
      </c>
      <c r="O103" s="11" t="s">
        <v>60</v>
      </c>
      <c r="P103" s="1" t="s">
        <v>73</v>
      </c>
      <c r="R103" s="1" t="s">
        <v>62</v>
      </c>
      <c r="AH103" s="1" t="s">
        <v>63</v>
      </c>
      <c r="AI103" s="1" t="s">
        <v>63</v>
      </c>
      <c r="AK103" s="1" t="s">
        <v>637</v>
      </c>
      <c r="AM103" s="12" t="n">
        <v>46311</v>
      </c>
      <c r="AT103" s="1" t="s">
        <v>66</v>
      </c>
      <c r="AU103" s="1" t="str">
        <f aca="false">IF(OR(AT103=TRUE(),AT103="TRUE"),"This sample listing is provided solely to demonstrate the directory interface. It does not represent a live declaration, verification, endorsement or participating establishment.","")</f>
        <v/>
      </c>
      <c r="AV103" s="1" t="str">
        <f aca="false">IF(OR(A103="",B103="",C103="",D103=""),"Missing required fields",IF(NOT(AND(ISNUMBER(M103),ISNUMBER(N103))),"Missing coordinates","Complete"))</f>
        <v>Complete</v>
      </c>
      <c r="AW103" s="1" t="str">
        <f aca="false">IF(AND(ISNUMBER(M103),ISNUMBER(N103)),"Ready","Coordinates required")</f>
        <v>Ready</v>
      </c>
      <c r="AX103" s="1" t="str">
        <f aca="false">IF(OR(AT103=TRUE(),AT103="TRUE"),"Demo record",IF(A103="","Missing ID",IF(B103="","Missing name",IF(NOT(AND(ISNUMBER(M103),ISNUMBER(N103))),"Coordinates required","Ready for publication"))))</f>
        <v>Ready for publication</v>
      </c>
    </row>
    <row r="104" customFormat="false" ht="14.25" hidden="false" customHeight="true" outlineLevel="0" collapsed="false">
      <c r="A104" s="1" t="s">
        <v>638</v>
      </c>
      <c r="B104" s="1" t="s">
        <v>639</v>
      </c>
      <c r="C104" s="11" t="s">
        <v>52</v>
      </c>
      <c r="D104" s="1" t="s">
        <v>640</v>
      </c>
      <c r="E104" s="1" t="s">
        <v>641</v>
      </c>
      <c r="F104" s="1" t="str">
        <f aca="false">IF(C104="Singapore",IF(LEN(TEXT(E104,"000000"))=6,LEFT(TEXT(E104,"000000"),2),""),"")</f>
        <v>41</v>
      </c>
      <c r="H104" s="1" t="s">
        <v>642</v>
      </c>
      <c r="I104" s="1" t="s">
        <v>519</v>
      </c>
      <c r="J104" s="1" t="s">
        <v>520</v>
      </c>
      <c r="K104" s="11" t="s">
        <v>225</v>
      </c>
      <c r="L104" s="11" t="s">
        <v>59</v>
      </c>
      <c r="M104" s="1" t="n">
        <v>1.339241</v>
      </c>
      <c r="N104" s="1" t="n">
        <v>103.912104</v>
      </c>
      <c r="O104" s="11" t="s">
        <v>60</v>
      </c>
      <c r="P104" s="1" t="s">
        <v>73</v>
      </c>
      <c r="R104" s="1" t="s">
        <v>62</v>
      </c>
      <c r="AH104" s="1" t="s">
        <v>63</v>
      </c>
      <c r="AI104" s="1" t="s">
        <v>63</v>
      </c>
      <c r="AK104" s="1" t="s">
        <v>329</v>
      </c>
      <c r="AM104" s="12" t="n">
        <v>46311</v>
      </c>
      <c r="AT104" s="1" t="s">
        <v>66</v>
      </c>
      <c r="AU104" s="1" t="str">
        <f aca="false">IF(OR(AT104=TRUE(),AT104="TRUE"),"This sample listing is provided solely to demonstrate the directory interface. It does not represent a live declaration, verification, endorsement or participating establishment.","")</f>
        <v/>
      </c>
      <c r="AV104" s="1" t="str">
        <f aca="false">IF(OR(A104="",B104="",C104="",D104=""),"Missing required fields",IF(NOT(AND(ISNUMBER(M104),ISNUMBER(N104))),"Missing coordinates","Complete"))</f>
        <v>Complete</v>
      </c>
      <c r="AW104" s="1" t="str">
        <f aca="false">IF(AND(ISNUMBER(M104),ISNUMBER(N104)),"Ready","Coordinates required")</f>
        <v>Ready</v>
      </c>
      <c r="AX104" s="1" t="str">
        <f aca="false">IF(OR(AT104=TRUE(),AT104="TRUE"),"Demo record",IF(A104="","Missing ID",IF(B104="","Missing name",IF(NOT(AND(ISNUMBER(M104),ISNUMBER(N104))),"Coordinates required","Ready for publication"))))</f>
        <v>Ready for publication</v>
      </c>
    </row>
    <row r="105" customFormat="false" ht="14.25" hidden="false" customHeight="true" outlineLevel="0" collapsed="false">
      <c r="A105" s="1" t="s">
        <v>643</v>
      </c>
      <c r="B105" s="1" t="s">
        <v>644</v>
      </c>
      <c r="C105" s="11" t="s">
        <v>52</v>
      </c>
      <c r="D105" s="1" t="s">
        <v>645</v>
      </c>
      <c r="E105" s="1" t="s">
        <v>192</v>
      </c>
      <c r="F105" s="1" t="str">
        <f aca="false">IF(C105="Singapore",IF(LEN(TEXT(E105,"000000"))=6,LEFT(TEXT(E105,"000000"),2),""),"")</f>
        <v>03</v>
      </c>
      <c r="H105" s="1" t="s">
        <v>193</v>
      </c>
      <c r="I105" s="1" t="s">
        <v>194</v>
      </c>
      <c r="J105" s="1" t="s">
        <v>195</v>
      </c>
      <c r="K105" s="11" t="s">
        <v>646</v>
      </c>
      <c r="L105" s="11" t="s">
        <v>112</v>
      </c>
      <c r="M105" s="1" t="n">
        <v>1.289453</v>
      </c>
      <c r="N105" s="1" t="n">
        <v>103.856873</v>
      </c>
      <c r="O105" s="11" t="s">
        <v>60</v>
      </c>
      <c r="P105" s="1" t="s">
        <v>113</v>
      </c>
      <c r="R105" s="1" t="s">
        <v>62</v>
      </c>
      <c r="AH105" s="1" t="s">
        <v>63</v>
      </c>
      <c r="AI105" s="1" t="s">
        <v>63</v>
      </c>
      <c r="AK105" s="1" t="s">
        <v>647</v>
      </c>
      <c r="AM105" s="12" t="s">
        <v>65</v>
      </c>
      <c r="AT105" s="1" t="s">
        <v>66</v>
      </c>
      <c r="AU105" s="1" t="str">
        <f aca="false">IF(OR(AT105=TRUE(),AT105="TRUE"),"This sample listing is provided solely to demonstrate the directory interface. It does not represent a live declaration, verification, endorsement or participating establishment.","")</f>
        <v/>
      </c>
      <c r="AV105" s="1" t="str">
        <f aca="false">IF(OR(A105="",B105="",C105="",D105=""),"Missing required fields",IF(NOT(AND(ISNUMBER(M105),ISNUMBER(N105))),"Missing coordinates","Complete"))</f>
        <v>Complete</v>
      </c>
      <c r="AW105" s="1" t="str">
        <f aca="false">IF(AND(ISNUMBER(M105),ISNUMBER(N105)),"Ready","Coordinates required")</f>
        <v>Ready</v>
      </c>
      <c r="AX105" s="1" t="str">
        <f aca="false">IF(OR(AT105=TRUE(),AT105="TRUE"),"Demo record",IF(A105="","Missing ID",IF(B105="","Missing name",IF(NOT(AND(ISNUMBER(M105),ISNUMBER(N105))),"Coordinates required","Ready for publication"))))</f>
        <v>Ready for publication</v>
      </c>
    </row>
    <row r="106" customFormat="false" ht="14.25" hidden="false" customHeight="true" outlineLevel="0" collapsed="false">
      <c r="A106" s="1" t="s">
        <v>648</v>
      </c>
      <c r="B106" s="1" t="s">
        <v>649</v>
      </c>
      <c r="C106" s="11" t="s">
        <v>52</v>
      </c>
      <c r="D106" s="1" t="s">
        <v>68</v>
      </c>
      <c r="E106" s="1" t="s">
        <v>69</v>
      </c>
      <c r="F106" s="1" t="str">
        <f aca="false">IF(C106="Singapore",IF(LEN(TEXT(E106,"000000"))=6,LEFT(TEXT(E106,"000000"),2),""),"")</f>
        <v>51</v>
      </c>
      <c r="H106" s="1" t="s">
        <v>70</v>
      </c>
      <c r="I106" s="1" t="s">
        <v>71</v>
      </c>
      <c r="J106" s="1" t="s">
        <v>72</v>
      </c>
      <c r="K106" s="11" t="s">
        <v>650</v>
      </c>
      <c r="L106" s="11" t="s">
        <v>59</v>
      </c>
      <c r="M106" s="1" t="n">
        <v>1.372303</v>
      </c>
      <c r="N106" s="1" t="n">
        <v>103.949868</v>
      </c>
      <c r="O106" s="11" t="s">
        <v>60</v>
      </c>
      <c r="P106" s="1" t="s">
        <v>73</v>
      </c>
      <c r="R106" s="1" t="s">
        <v>62</v>
      </c>
      <c r="AH106" s="1" t="s">
        <v>63</v>
      </c>
      <c r="AI106" s="1" t="s">
        <v>63</v>
      </c>
      <c r="AK106" s="1" t="s">
        <v>651</v>
      </c>
      <c r="AM106" s="12" t="n">
        <v>46311</v>
      </c>
      <c r="AN106" s="1" t="s">
        <v>652</v>
      </c>
      <c r="AT106" s="1" t="s">
        <v>66</v>
      </c>
      <c r="AU106" s="1" t="str">
        <f aca="false">IF(OR(AT106=TRUE(),AT106="TRUE"),"This sample listing is provided solely to demonstrate the directory interface. It does not represent a live declaration, verification, endorsement or participating establishment.","")</f>
        <v/>
      </c>
      <c r="AV106" s="1" t="str">
        <f aca="false">IF(OR(A106="",B106="",C106="",D106=""),"Missing required fields",IF(NOT(AND(ISNUMBER(M106),ISNUMBER(N106))),"Missing coordinates","Complete"))</f>
        <v>Complete</v>
      </c>
      <c r="AW106" s="1" t="str">
        <f aca="false">IF(AND(ISNUMBER(M106),ISNUMBER(N106)),"Ready","Coordinates required")</f>
        <v>Ready</v>
      </c>
      <c r="AX106" s="1" t="str">
        <f aca="false">IF(OR(AT106=TRUE(),AT106="TRUE"),"Demo record",IF(A106="","Missing ID",IF(B106="","Missing name",IF(NOT(AND(ISNUMBER(M106),ISNUMBER(N106))),"Coordinates required","Ready for publication"))))</f>
        <v>Ready for publication</v>
      </c>
    </row>
    <row r="107" customFormat="false" ht="14.25" hidden="false" customHeight="true" outlineLevel="0" collapsed="false">
      <c r="A107" s="1" t="s">
        <v>653</v>
      </c>
      <c r="B107" s="1" t="s">
        <v>649</v>
      </c>
      <c r="C107" s="11" t="s">
        <v>52</v>
      </c>
      <c r="D107" s="1" t="s">
        <v>654</v>
      </c>
      <c r="E107" s="1" t="s">
        <v>655</v>
      </c>
      <c r="F107" s="1" t="str">
        <f aca="false">IF(C107="Singapore",IF(LEN(TEXT(E107,"000000"))=6,LEFT(TEXT(E107,"000000"),2),""),"")</f>
        <v>12</v>
      </c>
      <c r="H107" s="1" t="s">
        <v>364</v>
      </c>
      <c r="I107" s="1" t="s">
        <v>365</v>
      </c>
      <c r="J107" s="1" t="s">
        <v>366</v>
      </c>
      <c r="K107" s="11" t="s">
        <v>414</v>
      </c>
      <c r="L107" s="11" t="s">
        <v>59</v>
      </c>
      <c r="M107" s="1" t="n">
        <v>1.315396</v>
      </c>
      <c r="N107" s="1" t="n">
        <v>103.764519</v>
      </c>
      <c r="O107" s="11" t="s">
        <v>60</v>
      </c>
      <c r="P107" s="1" t="s">
        <v>73</v>
      </c>
      <c r="R107" s="1" t="s">
        <v>62</v>
      </c>
      <c r="AH107" s="1" t="s">
        <v>63</v>
      </c>
      <c r="AI107" s="1" t="s">
        <v>63</v>
      </c>
      <c r="AK107" s="1" t="s">
        <v>656</v>
      </c>
      <c r="AM107" s="12" t="n">
        <v>46311</v>
      </c>
      <c r="AN107" s="1" t="s">
        <v>657</v>
      </c>
      <c r="AT107" s="1" t="s">
        <v>66</v>
      </c>
      <c r="AU107" s="1" t="str">
        <f aca="false">IF(OR(AT107=TRUE(),AT107="TRUE"),"This sample listing is provided solely to demonstrate the directory interface. It does not represent a live declaration, verification, endorsement or participating establishment.","")</f>
        <v/>
      </c>
      <c r="AV107" s="1" t="str">
        <f aca="false">IF(OR(A107="",B107="",C107="",D107=""),"Missing required fields",IF(NOT(AND(ISNUMBER(M107),ISNUMBER(N107))),"Missing coordinates","Complete"))</f>
        <v>Complete</v>
      </c>
      <c r="AW107" s="1" t="str">
        <f aca="false">IF(AND(ISNUMBER(M107),ISNUMBER(N107)),"Ready","Coordinates required")</f>
        <v>Ready</v>
      </c>
      <c r="AX107" s="1" t="str">
        <f aca="false">IF(OR(AT107=TRUE(),AT107="TRUE"),"Demo record",IF(A107="","Missing ID",IF(B107="","Missing name",IF(NOT(AND(ISNUMBER(M107),ISNUMBER(N107))),"Coordinates required","Ready for publication"))))</f>
        <v>Ready for publication</v>
      </c>
    </row>
    <row r="108" customFormat="false" ht="14.25" hidden="false" customHeight="true" outlineLevel="0" collapsed="false">
      <c r="A108" s="1" t="s">
        <v>658</v>
      </c>
      <c r="B108" s="1" t="s">
        <v>649</v>
      </c>
      <c r="C108" s="11" t="s">
        <v>52</v>
      </c>
      <c r="D108" s="1" t="s">
        <v>395</v>
      </c>
      <c r="E108" s="1" t="s">
        <v>396</v>
      </c>
      <c r="F108" s="1" t="str">
        <f aca="false">IF(C108="Singapore",IF(LEN(TEXT(E108,"000000"))=6,LEFT(TEXT(E108,"000000"),2),""),"")</f>
        <v>34</v>
      </c>
      <c r="H108" s="1" t="s">
        <v>321</v>
      </c>
      <c r="I108" s="1" t="s">
        <v>187</v>
      </c>
      <c r="J108" s="1" t="s">
        <v>188</v>
      </c>
      <c r="K108" s="11" t="s">
        <v>414</v>
      </c>
      <c r="L108" s="11" t="s">
        <v>59</v>
      </c>
      <c r="M108" s="1" t="n">
        <v>1.328814</v>
      </c>
      <c r="N108" s="1" t="n">
        <v>103.869485</v>
      </c>
      <c r="O108" s="11" t="s">
        <v>60</v>
      </c>
      <c r="P108" s="1" t="s">
        <v>73</v>
      </c>
      <c r="R108" s="1" t="s">
        <v>62</v>
      </c>
      <c r="AH108" s="1" t="s">
        <v>63</v>
      </c>
      <c r="AI108" s="1" t="s">
        <v>63</v>
      </c>
      <c r="AK108" s="1" t="s">
        <v>415</v>
      </c>
      <c r="AM108" s="12" t="n">
        <v>46311</v>
      </c>
      <c r="AN108" s="1" t="s">
        <v>652</v>
      </c>
      <c r="AT108" s="1" t="s">
        <v>66</v>
      </c>
      <c r="AU108" s="1" t="str">
        <f aca="false">IF(OR(AT108=TRUE(),AT108="TRUE"),"This sample listing is provided solely to demonstrate the directory interface. It does not represent a live declaration, verification, endorsement or participating establishment.","")</f>
        <v/>
      </c>
      <c r="AV108" s="1" t="str">
        <f aca="false">IF(OR(A108="",B108="",C108="",D108=""),"Missing required fields",IF(NOT(AND(ISNUMBER(M108),ISNUMBER(N108))),"Missing coordinates","Complete"))</f>
        <v>Complete</v>
      </c>
      <c r="AW108" s="1" t="str">
        <f aca="false">IF(AND(ISNUMBER(M108),ISNUMBER(N108)),"Ready","Coordinates required")</f>
        <v>Ready</v>
      </c>
      <c r="AX108" s="1" t="str">
        <f aca="false">IF(OR(AT108=TRUE(),AT108="TRUE"),"Demo record",IF(A108="","Missing ID",IF(B108="","Missing name",IF(NOT(AND(ISNUMBER(M108),ISNUMBER(N108))),"Coordinates required","Ready for publication"))))</f>
        <v>Ready for publication</v>
      </c>
    </row>
    <row r="109" customFormat="false" ht="14.25" hidden="false" customHeight="true" outlineLevel="0" collapsed="false">
      <c r="A109" s="1" t="s">
        <v>659</v>
      </c>
      <c r="B109" s="1" t="s">
        <v>660</v>
      </c>
      <c r="C109" s="11" t="s">
        <v>52</v>
      </c>
      <c r="D109" s="1" t="s">
        <v>661</v>
      </c>
      <c r="E109" s="1" t="s">
        <v>662</v>
      </c>
      <c r="F109" s="1" t="str">
        <f aca="false">IF(C109="Singapore",IF(LEN(TEXT(E109,"000000"))=6,LEFT(TEXT(E109,"000000"),2),""),"")</f>
        <v>65</v>
      </c>
      <c r="H109" s="1" t="s">
        <v>140</v>
      </c>
      <c r="I109" s="1" t="s">
        <v>88</v>
      </c>
      <c r="J109" s="1" t="s">
        <v>89</v>
      </c>
      <c r="K109" s="11"/>
      <c r="L109" s="11" t="s">
        <v>59</v>
      </c>
      <c r="M109" s="1" t="n">
        <v>1.359198</v>
      </c>
      <c r="N109" s="1" t="n">
        <v>103.752075</v>
      </c>
      <c r="O109" s="11" t="s">
        <v>60</v>
      </c>
      <c r="P109" s="1" t="s">
        <v>73</v>
      </c>
      <c r="R109" s="1" t="s">
        <v>62</v>
      </c>
      <c r="AH109" s="1" t="s">
        <v>63</v>
      </c>
      <c r="AI109" s="1" t="s">
        <v>63</v>
      </c>
      <c r="AK109" s="1" t="s">
        <v>663</v>
      </c>
      <c r="AM109" s="12" t="n">
        <v>46311</v>
      </c>
      <c r="AT109" s="1" t="s">
        <v>66</v>
      </c>
      <c r="AU109" s="1" t="str">
        <f aca="false">IF(OR(AT109=TRUE(),AT109="TRUE"),"This sample listing is provided solely to demonstrate the directory interface. It does not represent a live declaration, verification, endorsement or participating establishment.","")</f>
        <v/>
      </c>
      <c r="AV109" s="1" t="str">
        <f aca="false">IF(OR(A109="",B109="",C109="",D109=""),"Missing required fields",IF(NOT(AND(ISNUMBER(M109),ISNUMBER(N109))),"Missing coordinates","Complete"))</f>
        <v>Complete</v>
      </c>
      <c r="AW109" s="1" t="str">
        <f aca="false">IF(AND(ISNUMBER(M109),ISNUMBER(N109)),"Ready","Coordinates required")</f>
        <v>Ready</v>
      </c>
      <c r="AX109" s="1" t="str">
        <f aca="false">IF(OR(AT109=TRUE(),AT109="TRUE"),"Demo record",IF(A109="","Missing ID",IF(B109="","Missing name",IF(NOT(AND(ISNUMBER(M109),ISNUMBER(N109))),"Coordinates required","Ready for publication"))))</f>
        <v>Ready for publication</v>
      </c>
    </row>
    <row r="110" customFormat="false" ht="14.25" hidden="false" customHeight="true" outlineLevel="0" collapsed="false">
      <c r="A110" s="1" t="s">
        <v>664</v>
      </c>
      <c r="B110" s="1" t="s">
        <v>665</v>
      </c>
      <c r="C110" s="11" t="s">
        <v>52</v>
      </c>
      <c r="D110" s="1" t="s">
        <v>666</v>
      </c>
      <c r="E110" s="1" t="s">
        <v>667</v>
      </c>
      <c r="F110" s="1" t="str">
        <f aca="false">IF(C110="Singapore",IF(LEN(TEXT(E110,"000000"))=6,LEFT(TEXT(E110,"000000"),2),""),"")</f>
        <v>44</v>
      </c>
      <c r="H110" s="1" t="s">
        <v>267</v>
      </c>
      <c r="I110" s="1" t="s">
        <v>268</v>
      </c>
      <c r="J110" s="1" t="s">
        <v>269</v>
      </c>
      <c r="K110" s="11"/>
      <c r="L110" s="11" t="s">
        <v>112</v>
      </c>
      <c r="M110" s="1" t="n">
        <v>1.30237</v>
      </c>
      <c r="N110" s="1" t="n">
        <v>103.906235</v>
      </c>
      <c r="O110" s="11" t="s">
        <v>60</v>
      </c>
      <c r="P110" s="1" t="s">
        <v>113</v>
      </c>
      <c r="R110" s="1" t="s">
        <v>62</v>
      </c>
      <c r="AH110" s="1" t="s">
        <v>63</v>
      </c>
      <c r="AI110" s="1" t="s">
        <v>63</v>
      </c>
      <c r="AK110" s="1" t="s">
        <v>668</v>
      </c>
      <c r="AM110" s="12" t="n">
        <v>46311</v>
      </c>
      <c r="AT110" s="1" t="s">
        <v>66</v>
      </c>
      <c r="AU110" s="1" t="str">
        <f aca="false">IF(OR(AT110=TRUE(),AT110="TRUE"),"This sample listing is provided solely to demonstrate the directory interface. It does not represent a live declaration, verification, endorsement or participating establishment.","")</f>
        <v/>
      </c>
      <c r="AV110" s="1" t="str">
        <f aca="false">IF(OR(A110="",B110="",C110="",D110=""),"Missing required fields",IF(NOT(AND(ISNUMBER(M110),ISNUMBER(N110))),"Missing coordinates","Complete"))</f>
        <v>Complete</v>
      </c>
      <c r="AW110" s="1" t="str">
        <f aca="false">IF(AND(ISNUMBER(M110),ISNUMBER(N110)),"Ready","Coordinates required")</f>
        <v>Ready</v>
      </c>
      <c r="AX110" s="1" t="str">
        <f aca="false">IF(OR(AT110=TRUE(),AT110="TRUE"),"Demo record",IF(A110="","Missing ID",IF(B110="","Missing name",IF(NOT(AND(ISNUMBER(M110),ISNUMBER(N110))),"Coordinates required","Ready for publication"))))</f>
        <v>Ready for publication</v>
      </c>
    </row>
    <row r="111" customFormat="false" ht="14.25" hidden="false" customHeight="true" outlineLevel="0" collapsed="false">
      <c r="A111" s="1" t="s">
        <v>669</v>
      </c>
      <c r="B111" s="1" t="s">
        <v>670</v>
      </c>
      <c r="C111" s="11" t="s">
        <v>52</v>
      </c>
      <c r="D111" s="1" t="s">
        <v>671</v>
      </c>
      <c r="E111" s="1" t="s">
        <v>672</v>
      </c>
      <c r="F111" s="1" t="str">
        <f aca="false">IF(C111="Singapore",IF(LEN(TEXT(E111,"000000"))=6,LEFT(TEXT(E111,"000000"),2),""),"")</f>
        <v>09</v>
      </c>
      <c r="H111" s="1" t="s">
        <v>388</v>
      </c>
      <c r="I111" s="1" t="s">
        <v>389</v>
      </c>
      <c r="J111" s="1" t="s">
        <v>390</v>
      </c>
      <c r="K111" s="11" t="s">
        <v>673</v>
      </c>
      <c r="L111" s="11" t="s">
        <v>59</v>
      </c>
      <c r="M111" s="1" t="n">
        <v>1.251955</v>
      </c>
      <c r="N111" s="1" t="n">
        <v>103.817504</v>
      </c>
      <c r="O111" s="11" t="s">
        <v>60</v>
      </c>
      <c r="P111" s="1" t="s">
        <v>73</v>
      </c>
      <c r="R111" s="1" t="s">
        <v>62</v>
      </c>
      <c r="AH111" s="1" t="s">
        <v>63</v>
      </c>
      <c r="AI111" s="1" t="s">
        <v>63</v>
      </c>
      <c r="AK111" s="1" t="s">
        <v>674</v>
      </c>
      <c r="AM111" s="12" t="n">
        <v>46311</v>
      </c>
      <c r="AT111" s="1" t="s">
        <v>66</v>
      </c>
      <c r="AU111" s="1" t="str">
        <f aca="false">IF(OR(AT111=TRUE(),AT111="TRUE"),"This sample listing is provided solely to demonstrate the directory interface. It does not represent a live declaration, verification, endorsement or participating establishment.","")</f>
        <v/>
      </c>
      <c r="AV111" s="1" t="str">
        <f aca="false">IF(OR(A111="",B111="",C111="",D111=""),"Missing required fields",IF(NOT(AND(ISNUMBER(M111),ISNUMBER(N111))),"Missing coordinates","Complete"))</f>
        <v>Complete</v>
      </c>
      <c r="AW111" s="1" t="str">
        <f aca="false">IF(AND(ISNUMBER(M111),ISNUMBER(N111)),"Ready","Coordinates required")</f>
        <v>Ready</v>
      </c>
      <c r="AX111" s="1" t="str">
        <f aca="false">IF(OR(AT111=TRUE(),AT111="TRUE"),"Demo record",IF(A111="","Missing ID",IF(B111="","Missing name",IF(NOT(AND(ISNUMBER(M111),ISNUMBER(N111))),"Coordinates required","Ready for publication"))))</f>
        <v>Ready for publication</v>
      </c>
    </row>
    <row r="112" customFormat="false" ht="14.25" hidden="false" customHeight="true" outlineLevel="0" collapsed="false">
      <c r="A112" s="1" t="s">
        <v>675</v>
      </c>
      <c r="B112" s="1" t="s">
        <v>676</v>
      </c>
      <c r="C112" s="11" t="s">
        <v>52</v>
      </c>
      <c r="D112" s="1" t="s">
        <v>677</v>
      </c>
      <c r="F112" s="1" t="str">
        <f aca="false">IF(C112="Singapore",IF(LEN(TEXT(E112,"000000"))=6,LEFT(TEXT(E112,"000000"),2),""),"")</f>
        <v>00</v>
      </c>
      <c r="K112" s="11" t="s">
        <v>276</v>
      </c>
      <c r="L112" s="11" t="s">
        <v>59</v>
      </c>
      <c r="M112" s="1" t="n">
        <v>1.374034</v>
      </c>
      <c r="N112" s="1" t="n">
        <v>103.886987</v>
      </c>
      <c r="O112" s="11" t="s">
        <v>60</v>
      </c>
      <c r="P112" s="1" t="s">
        <v>73</v>
      </c>
      <c r="R112" s="1" t="s">
        <v>62</v>
      </c>
      <c r="AH112" s="1" t="s">
        <v>63</v>
      </c>
      <c r="AI112" s="1" t="s">
        <v>63</v>
      </c>
      <c r="AK112" s="1" t="s">
        <v>678</v>
      </c>
      <c r="AM112" s="12" t="n">
        <v>46311</v>
      </c>
      <c r="AT112" s="1" t="s">
        <v>66</v>
      </c>
      <c r="AU112" s="1" t="str">
        <f aca="false">IF(OR(AT112=TRUE(),AT112="TRUE"),"This sample listing is provided solely to demonstrate the directory interface. It does not represent a live declaration, verification, endorsement or participating establishment.","")</f>
        <v/>
      </c>
      <c r="AV112" s="1" t="str">
        <f aca="false">IF(OR(A112="",B112="",C112="",D112=""),"Missing required fields",IF(NOT(AND(ISNUMBER(M112),ISNUMBER(N112))),"Missing coordinates","Complete"))</f>
        <v>Complete</v>
      </c>
      <c r="AW112" s="1" t="str">
        <f aca="false">IF(AND(ISNUMBER(M112),ISNUMBER(N112)),"Ready","Coordinates required")</f>
        <v>Ready</v>
      </c>
      <c r="AX112" s="1" t="str">
        <f aca="false">IF(OR(AT112=TRUE(),AT112="TRUE"),"Demo record",IF(A112="","Missing ID",IF(B112="","Missing name",IF(NOT(AND(ISNUMBER(M112),ISNUMBER(N112))),"Coordinates required","Ready for publication"))))</f>
        <v>Ready for publication</v>
      </c>
    </row>
    <row r="113" customFormat="false" ht="14.25" hidden="false" customHeight="true" outlineLevel="0" collapsed="false">
      <c r="A113" s="1" t="s">
        <v>679</v>
      </c>
      <c r="B113" s="1" t="s">
        <v>676</v>
      </c>
      <c r="C113" s="11" t="s">
        <v>52</v>
      </c>
      <c r="D113" s="1" t="s">
        <v>680</v>
      </c>
      <c r="E113" s="1" t="s">
        <v>681</v>
      </c>
      <c r="F113" s="1" t="str">
        <f aca="false">IF(C113="Singapore",IF(LEN(TEXT(E113,"000000"))=6,LEFT(TEXT(E113,"000000"),2),""),"")</f>
        <v>75</v>
      </c>
      <c r="H113" s="1" t="s">
        <v>581</v>
      </c>
      <c r="I113" s="1" t="s">
        <v>582</v>
      </c>
      <c r="J113" s="1" t="s">
        <v>583</v>
      </c>
      <c r="K113" s="11" t="s">
        <v>276</v>
      </c>
      <c r="L113" s="11" t="s">
        <v>59</v>
      </c>
      <c r="M113" s="1" t="n">
        <v>1.448388</v>
      </c>
      <c r="N113" s="1" t="n">
        <v>103.819888</v>
      </c>
      <c r="O113" s="11" t="s">
        <v>60</v>
      </c>
      <c r="P113" s="1" t="s">
        <v>73</v>
      </c>
      <c r="R113" s="1" t="s">
        <v>62</v>
      </c>
      <c r="AH113" s="1" t="s">
        <v>63</v>
      </c>
      <c r="AI113" s="1" t="s">
        <v>63</v>
      </c>
      <c r="AK113" s="1" t="s">
        <v>682</v>
      </c>
      <c r="AM113" s="12" t="n">
        <v>46311</v>
      </c>
      <c r="AN113" s="1" t="s">
        <v>683</v>
      </c>
      <c r="AT113" s="1" t="s">
        <v>66</v>
      </c>
      <c r="AU113" s="1" t="str">
        <f aca="false">IF(OR(AT113=TRUE(),AT113="TRUE"),"This sample listing is provided solely to demonstrate the directory interface. It does not represent a live declaration, verification, endorsement or participating establishment.","")</f>
        <v/>
      </c>
      <c r="AV113" s="1" t="str">
        <f aca="false">IF(OR(A113="",B113="",C113="",D113=""),"Missing required fields",IF(NOT(AND(ISNUMBER(M113),ISNUMBER(N113))),"Missing coordinates","Complete"))</f>
        <v>Complete</v>
      </c>
      <c r="AW113" s="1" t="str">
        <f aca="false">IF(AND(ISNUMBER(M113),ISNUMBER(N113)),"Ready","Coordinates required")</f>
        <v>Ready</v>
      </c>
      <c r="AX113" s="1" t="str">
        <f aca="false">IF(OR(AT113=TRUE(),AT113="TRUE"),"Demo record",IF(A113="","Missing ID",IF(B113="","Missing name",IF(NOT(AND(ISNUMBER(M113),ISNUMBER(N113))),"Coordinates required","Ready for publication"))))</f>
        <v>Ready for publication</v>
      </c>
    </row>
    <row r="114" customFormat="false" ht="14.25" hidden="false" customHeight="true" outlineLevel="0" collapsed="false">
      <c r="A114" s="1" t="s">
        <v>684</v>
      </c>
      <c r="B114" s="1" t="s">
        <v>676</v>
      </c>
      <c r="C114" s="11" t="s">
        <v>52</v>
      </c>
      <c r="D114" s="1" t="s">
        <v>685</v>
      </c>
      <c r="F114" s="1" t="str">
        <f aca="false">IF(C114="Singapore",IF(LEN(TEXT(E114,"000000"))=6,LEFT(TEXT(E114,"000000"),2),""),"")</f>
        <v>00</v>
      </c>
      <c r="K114" s="11" t="s">
        <v>276</v>
      </c>
      <c r="L114" s="11" t="s">
        <v>59</v>
      </c>
      <c r="M114" s="1" t="n">
        <v>1.312477</v>
      </c>
      <c r="N114" s="1" t="n">
        <v>103.76569</v>
      </c>
      <c r="O114" s="11" t="s">
        <v>60</v>
      </c>
      <c r="P114" s="1" t="s">
        <v>73</v>
      </c>
      <c r="R114" s="1" t="s">
        <v>62</v>
      </c>
      <c r="AH114" s="1" t="s">
        <v>63</v>
      </c>
      <c r="AI114" s="1" t="s">
        <v>63</v>
      </c>
      <c r="AK114" s="1" t="s">
        <v>686</v>
      </c>
      <c r="AM114" s="12" t="n">
        <v>46311</v>
      </c>
      <c r="AT114" s="1" t="s">
        <v>66</v>
      </c>
      <c r="AU114" s="1" t="str">
        <f aca="false">IF(OR(AT114=TRUE(),AT114="TRUE"),"This sample listing is provided solely to demonstrate the directory interface. It does not represent a live declaration, verification, endorsement or participating establishment.","")</f>
        <v/>
      </c>
      <c r="AV114" s="1" t="str">
        <f aca="false">IF(OR(A114="",B114="",C114="",D114=""),"Missing required fields",IF(NOT(AND(ISNUMBER(M114),ISNUMBER(N114))),"Missing coordinates","Complete"))</f>
        <v>Complete</v>
      </c>
      <c r="AW114" s="1" t="str">
        <f aca="false">IF(AND(ISNUMBER(M114),ISNUMBER(N114)),"Ready","Coordinates required")</f>
        <v>Ready</v>
      </c>
      <c r="AX114" s="1" t="str">
        <f aca="false">IF(OR(AT114=TRUE(),AT114="TRUE"),"Demo record",IF(A114="","Missing ID",IF(B114="","Missing name",IF(NOT(AND(ISNUMBER(M114),ISNUMBER(N114))),"Coordinates required","Ready for publication"))))</f>
        <v>Ready for publication</v>
      </c>
    </row>
    <row r="115" customFormat="false" ht="14.25" hidden="false" customHeight="true" outlineLevel="0" collapsed="false">
      <c r="A115" s="1" t="s">
        <v>687</v>
      </c>
      <c r="B115" s="1" t="s">
        <v>676</v>
      </c>
      <c r="C115" s="11" t="s">
        <v>52</v>
      </c>
      <c r="D115" s="1" t="s">
        <v>559</v>
      </c>
      <c r="E115" s="1" t="s">
        <v>560</v>
      </c>
      <c r="F115" s="1" t="str">
        <f aca="false">IF(C115="Singapore",IF(LEN(TEXT(E115,"000000"))=6,LEFT(TEXT(E115,"000000"),2),""),"")</f>
        <v>63</v>
      </c>
      <c r="H115" s="1" t="s">
        <v>253</v>
      </c>
      <c r="I115" s="1" t="s">
        <v>254</v>
      </c>
      <c r="J115" s="1" t="s">
        <v>255</v>
      </c>
      <c r="K115" s="11" t="s">
        <v>276</v>
      </c>
      <c r="L115" s="11" t="s">
        <v>59</v>
      </c>
      <c r="M115" s="1" t="n">
        <v>1.346898</v>
      </c>
      <c r="N115" s="1" t="n">
        <v>103.680283</v>
      </c>
      <c r="O115" s="11" t="s">
        <v>60</v>
      </c>
      <c r="P115" s="1" t="s">
        <v>73</v>
      </c>
      <c r="R115" s="1" t="s">
        <v>62</v>
      </c>
      <c r="AH115" s="1" t="s">
        <v>63</v>
      </c>
      <c r="AI115" s="1" t="s">
        <v>63</v>
      </c>
      <c r="AK115" s="1" t="s">
        <v>561</v>
      </c>
      <c r="AM115" s="12" t="n">
        <v>46311</v>
      </c>
      <c r="AT115" s="1" t="s">
        <v>66</v>
      </c>
      <c r="AU115" s="1" t="str">
        <f aca="false">IF(OR(AT115=TRUE(),AT115="TRUE"),"This sample listing is provided solely to demonstrate the directory interface. It does not represent a live declaration, verification, endorsement or participating establishment.","")</f>
        <v/>
      </c>
      <c r="AV115" s="1" t="str">
        <f aca="false">IF(OR(A115="",B115="",C115="",D115=""),"Missing required fields",IF(NOT(AND(ISNUMBER(M115),ISNUMBER(N115))),"Missing coordinates","Complete"))</f>
        <v>Complete</v>
      </c>
      <c r="AW115" s="1" t="str">
        <f aca="false">IF(AND(ISNUMBER(M115),ISNUMBER(N115)),"Ready","Coordinates required")</f>
        <v>Ready</v>
      </c>
      <c r="AX115" s="1" t="str">
        <f aca="false">IF(OR(AT115=TRUE(),AT115="TRUE"),"Demo record",IF(A115="","Missing ID",IF(B115="","Missing name",IF(NOT(AND(ISNUMBER(M115),ISNUMBER(N115))),"Coordinates required","Ready for publication"))))</f>
        <v>Ready for publication</v>
      </c>
    </row>
    <row r="116" customFormat="false" ht="14.25" hidden="false" customHeight="true" outlineLevel="0" collapsed="false">
      <c r="A116" s="1" t="s">
        <v>688</v>
      </c>
      <c r="B116" s="1" t="s">
        <v>676</v>
      </c>
      <c r="C116" s="11" t="s">
        <v>52</v>
      </c>
      <c r="D116" s="1" t="s">
        <v>689</v>
      </c>
      <c r="E116" s="1" t="s">
        <v>419</v>
      </c>
      <c r="F116" s="1" t="str">
        <f aca="false">IF(C116="Singapore",IF(LEN(TEXT(E116,"000000"))=6,LEFT(TEXT(E116,"000000"),2),""),"")</f>
        <v>51</v>
      </c>
      <c r="H116" s="1" t="s">
        <v>70</v>
      </c>
      <c r="I116" s="1" t="s">
        <v>71</v>
      </c>
      <c r="J116" s="1" t="s">
        <v>72</v>
      </c>
      <c r="K116" s="11" t="s">
        <v>276</v>
      </c>
      <c r="L116" s="11" t="s">
        <v>59</v>
      </c>
      <c r="M116" s="1" t="n">
        <v>1.376926</v>
      </c>
      <c r="N116" s="1" t="n">
        <v>103.955185</v>
      </c>
      <c r="O116" s="11" t="s">
        <v>60</v>
      </c>
      <c r="P116" s="1" t="s">
        <v>73</v>
      </c>
      <c r="R116" s="1" t="s">
        <v>62</v>
      </c>
      <c r="AH116" s="1" t="s">
        <v>63</v>
      </c>
      <c r="AI116" s="1" t="s">
        <v>63</v>
      </c>
      <c r="AK116" s="1" t="s">
        <v>690</v>
      </c>
      <c r="AM116" s="12" t="n">
        <v>46311</v>
      </c>
      <c r="AN116" s="1" t="s">
        <v>683</v>
      </c>
      <c r="AT116" s="1" t="s">
        <v>66</v>
      </c>
      <c r="AU116" s="1" t="str">
        <f aca="false">IF(OR(AT116=TRUE(),AT116="TRUE"),"This sample listing is provided solely to demonstrate the directory interface. It does not represent a live declaration, verification, endorsement or participating establishment.","")</f>
        <v/>
      </c>
      <c r="AV116" s="1" t="str">
        <f aca="false">IF(OR(A116="",B116="",C116="",D116=""),"Missing required fields",IF(NOT(AND(ISNUMBER(M116),ISNUMBER(N116))),"Missing coordinates","Complete"))</f>
        <v>Complete</v>
      </c>
      <c r="AW116" s="1" t="str">
        <f aca="false">IF(AND(ISNUMBER(M116),ISNUMBER(N116)),"Ready","Coordinates required")</f>
        <v>Ready</v>
      </c>
      <c r="AX116" s="1" t="str">
        <f aca="false">IF(OR(AT116=TRUE(),AT116="TRUE"),"Demo record",IF(A116="","Missing ID",IF(B116="","Missing name",IF(NOT(AND(ISNUMBER(M116),ISNUMBER(N116))),"Coordinates required","Ready for publication"))))</f>
        <v>Ready for publication</v>
      </c>
    </row>
    <row r="117" customFormat="false" ht="14.25" hidden="false" customHeight="true" outlineLevel="0" collapsed="false">
      <c r="A117" s="1" t="s">
        <v>691</v>
      </c>
      <c r="B117" s="1" t="s">
        <v>676</v>
      </c>
      <c r="C117" s="11" t="s">
        <v>52</v>
      </c>
      <c r="D117" s="1" t="s">
        <v>692</v>
      </c>
      <c r="E117" s="1" t="s">
        <v>693</v>
      </c>
      <c r="F117" s="1" t="str">
        <f aca="false">IF(C117="Singapore",IF(LEN(TEXT(E117,"000000"))=6,LEFT(TEXT(E117,"000000"),2),""),"")</f>
        <v>35</v>
      </c>
      <c r="H117" s="1" t="s">
        <v>321</v>
      </c>
      <c r="I117" s="1" t="s">
        <v>187</v>
      </c>
      <c r="J117" s="1" t="s">
        <v>188</v>
      </c>
      <c r="K117" s="11" t="s">
        <v>276</v>
      </c>
      <c r="L117" s="11" t="s">
        <v>59</v>
      </c>
      <c r="M117" s="1" t="n">
        <v>1.332788</v>
      </c>
      <c r="N117" s="1" t="n">
        <v>103.867922</v>
      </c>
      <c r="O117" s="11" t="s">
        <v>60</v>
      </c>
      <c r="P117" s="1" t="s">
        <v>73</v>
      </c>
      <c r="R117" s="1" t="s">
        <v>62</v>
      </c>
      <c r="AH117" s="1" t="s">
        <v>63</v>
      </c>
      <c r="AI117" s="1" t="s">
        <v>63</v>
      </c>
      <c r="AK117" s="1" t="s">
        <v>694</v>
      </c>
      <c r="AM117" s="12" t="n">
        <v>46311</v>
      </c>
      <c r="AT117" s="1" t="s">
        <v>66</v>
      </c>
      <c r="AU117" s="1" t="str">
        <f aca="false">IF(OR(AT117=TRUE(),AT117="TRUE"),"This sample listing is provided solely to demonstrate the directory interface. It does not represent a live declaration, verification, endorsement or participating establishment.","")</f>
        <v/>
      </c>
      <c r="AV117" s="1" t="str">
        <f aca="false">IF(OR(A117="",B117="",C117="",D117=""),"Missing required fields",IF(NOT(AND(ISNUMBER(M117),ISNUMBER(N117))),"Missing coordinates","Complete"))</f>
        <v>Complete</v>
      </c>
      <c r="AW117" s="1" t="str">
        <f aca="false">IF(AND(ISNUMBER(M117),ISNUMBER(N117)),"Ready","Coordinates required")</f>
        <v>Ready</v>
      </c>
      <c r="AX117" s="1" t="str">
        <f aca="false">IF(OR(AT117=TRUE(),AT117="TRUE"),"Demo record",IF(A117="","Missing ID",IF(B117="","Missing name",IF(NOT(AND(ISNUMBER(M117),ISNUMBER(N117))),"Coordinates required","Ready for publication"))))</f>
        <v>Ready for publication</v>
      </c>
    </row>
    <row r="118" customFormat="false" ht="14.25" hidden="false" customHeight="true" outlineLevel="0" collapsed="false">
      <c r="A118" s="1" t="s">
        <v>695</v>
      </c>
      <c r="B118" s="1" t="s">
        <v>676</v>
      </c>
      <c r="C118" s="11" t="s">
        <v>52</v>
      </c>
      <c r="D118" s="1" t="s">
        <v>440</v>
      </c>
      <c r="E118" s="1" t="s">
        <v>441</v>
      </c>
      <c r="F118" s="1" t="str">
        <f aca="false">IF(C118="Singapore",IF(LEN(TEXT(E118,"000000"))=6,LEFT(TEXT(E118,"000000"),2),""),"")</f>
        <v>32</v>
      </c>
      <c r="H118" s="1" t="s">
        <v>55</v>
      </c>
      <c r="I118" s="1" t="s">
        <v>56</v>
      </c>
      <c r="J118" s="1" t="s">
        <v>57</v>
      </c>
      <c r="K118" s="11" t="s">
        <v>276</v>
      </c>
      <c r="L118" s="11" t="s">
        <v>59</v>
      </c>
      <c r="M118" s="1" t="n">
        <v>1.326868</v>
      </c>
      <c r="N118" s="1" t="n">
        <v>103.84681</v>
      </c>
      <c r="O118" s="11" t="s">
        <v>60</v>
      </c>
      <c r="P118" s="1" t="s">
        <v>61</v>
      </c>
      <c r="R118" s="1" t="s">
        <v>62</v>
      </c>
      <c r="AH118" s="1" t="s">
        <v>63</v>
      </c>
      <c r="AI118" s="1" t="s">
        <v>63</v>
      </c>
      <c r="AK118" s="1" t="s">
        <v>696</v>
      </c>
      <c r="AM118" s="12" t="s">
        <v>65</v>
      </c>
      <c r="AT118" s="1" t="s">
        <v>66</v>
      </c>
      <c r="AU118" s="1" t="str">
        <f aca="false">IF(OR(AT118=TRUE(),AT118="TRUE"),"This sample listing is provided solely to demonstrate the directory interface. It does not represent a live declaration, verification, endorsement or participating establishment.","")</f>
        <v/>
      </c>
      <c r="AV118" s="1" t="str">
        <f aca="false">IF(OR(A118="",B118="",C118="",D118=""),"Missing required fields",IF(NOT(AND(ISNUMBER(M118),ISNUMBER(N118))),"Missing coordinates","Complete"))</f>
        <v>Complete</v>
      </c>
      <c r="AW118" s="1" t="str">
        <f aca="false">IF(AND(ISNUMBER(M118),ISNUMBER(N118)),"Ready","Coordinates required")</f>
        <v>Ready</v>
      </c>
      <c r="AX118" s="1" t="str">
        <f aca="false">IF(OR(AT118=TRUE(),AT118="TRUE"),"Demo record",IF(A118="","Missing ID",IF(B118="","Missing name",IF(NOT(AND(ISNUMBER(M118),ISNUMBER(N118))),"Coordinates required","Ready for publication"))))</f>
        <v>Ready for publication</v>
      </c>
    </row>
    <row r="119" customFormat="false" ht="14.25" hidden="false" customHeight="true" outlineLevel="0" collapsed="false">
      <c r="A119" s="1" t="s">
        <v>697</v>
      </c>
      <c r="B119" s="1" t="s">
        <v>676</v>
      </c>
      <c r="C119" s="11" t="s">
        <v>52</v>
      </c>
      <c r="D119" s="1" t="s">
        <v>68</v>
      </c>
      <c r="E119" s="1" t="s">
        <v>69</v>
      </c>
      <c r="F119" s="1" t="str">
        <f aca="false">IF(C119="Singapore",IF(LEN(TEXT(E119,"000000"))=6,LEFT(TEXT(E119,"000000"),2),""),"")</f>
        <v>51</v>
      </c>
      <c r="H119" s="1" t="s">
        <v>70</v>
      </c>
      <c r="I119" s="1" t="s">
        <v>71</v>
      </c>
      <c r="J119" s="1" t="s">
        <v>72</v>
      </c>
      <c r="K119" s="11" t="s">
        <v>276</v>
      </c>
      <c r="L119" s="11" t="s">
        <v>59</v>
      </c>
      <c r="M119" s="1" t="n">
        <v>1.372359</v>
      </c>
      <c r="N119" s="1" t="n">
        <v>103.949346</v>
      </c>
      <c r="O119" s="11" t="s">
        <v>60</v>
      </c>
      <c r="P119" s="1" t="s">
        <v>73</v>
      </c>
      <c r="R119" s="1" t="s">
        <v>62</v>
      </c>
      <c r="AH119" s="1" t="s">
        <v>63</v>
      </c>
      <c r="AI119" s="1" t="s">
        <v>63</v>
      </c>
      <c r="AK119" s="1" t="s">
        <v>400</v>
      </c>
      <c r="AM119" s="12" t="n">
        <v>46311</v>
      </c>
      <c r="AN119" s="1" t="s">
        <v>698</v>
      </c>
      <c r="AT119" s="1" t="s">
        <v>66</v>
      </c>
      <c r="AU119" s="1" t="str">
        <f aca="false">IF(OR(AT119=TRUE(),AT119="TRUE"),"This sample listing is provided solely to demonstrate the directory interface. It does not represent a live declaration, verification, endorsement or participating establishment.","")</f>
        <v/>
      </c>
      <c r="AV119" s="1" t="str">
        <f aca="false">IF(OR(A119="",B119="",C119="",D119=""),"Missing required fields",IF(NOT(AND(ISNUMBER(M119),ISNUMBER(N119))),"Missing coordinates","Complete"))</f>
        <v>Complete</v>
      </c>
      <c r="AW119" s="1" t="str">
        <f aca="false">IF(AND(ISNUMBER(M119),ISNUMBER(N119)),"Ready","Coordinates required")</f>
        <v>Ready</v>
      </c>
      <c r="AX119" s="1" t="str">
        <f aca="false">IF(OR(AT119=TRUE(),AT119="TRUE"),"Demo record",IF(A119="","Missing ID",IF(B119="","Missing name",IF(NOT(AND(ISNUMBER(M119),ISNUMBER(N119))),"Coordinates required","Ready for publication"))))</f>
        <v>Ready for publication</v>
      </c>
    </row>
    <row r="120" customFormat="false" ht="14.25" hidden="false" customHeight="true" outlineLevel="0" collapsed="false">
      <c r="A120" s="1" t="s">
        <v>699</v>
      </c>
      <c r="B120" s="1" t="s">
        <v>676</v>
      </c>
      <c r="C120" s="11" t="s">
        <v>52</v>
      </c>
      <c r="D120" s="1" t="s">
        <v>700</v>
      </c>
      <c r="E120" s="1" t="s">
        <v>701</v>
      </c>
      <c r="F120" s="1" t="str">
        <f aca="false">IF(C120="Singapore",IF(LEN(TEXT(E120,"000000"))=6,LEFT(TEXT(E120,"000000"),2),""),"")</f>
        <v>67</v>
      </c>
      <c r="H120" s="1" t="s">
        <v>87</v>
      </c>
      <c r="I120" s="1" t="s">
        <v>88</v>
      </c>
      <c r="J120" s="1" t="s">
        <v>89</v>
      </c>
      <c r="K120" s="11" t="s">
        <v>276</v>
      </c>
      <c r="L120" s="11" t="s">
        <v>59</v>
      </c>
      <c r="M120" s="1" t="n">
        <v>1.387189</v>
      </c>
      <c r="N120" s="1" t="n">
        <v>103.762379</v>
      </c>
      <c r="O120" s="11" t="s">
        <v>60</v>
      </c>
      <c r="P120" s="1" t="s">
        <v>73</v>
      </c>
      <c r="R120" s="1" t="s">
        <v>62</v>
      </c>
      <c r="AH120" s="1" t="s">
        <v>63</v>
      </c>
      <c r="AI120" s="1" t="s">
        <v>63</v>
      </c>
      <c r="AK120" s="1" t="s">
        <v>702</v>
      </c>
      <c r="AM120" s="12" t="n">
        <v>46311</v>
      </c>
      <c r="AT120" s="1" t="s">
        <v>66</v>
      </c>
      <c r="AU120" s="1" t="str">
        <f aca="false">IF(OR(AT120=TRUE(),AT120="TRUE"),"This sample listing is provided solely to demonstrate the directory interface. It does not represent a live declaration, verification, endorsement or participating establishment.","")</f>
        <v/>
      </c>
      <c r="AV120" s="1" t="str">
        <f aca="false">IF(OR(A120="",B120="",C120="",D120=""),"Missing required fields",IF(NOT(AND(ISNUMBER(M120),ISNUMBER(N120))),"Missing coordinates","Complete"))</f>
        <v>Complete</v>
      </c>
      <c r="AW120" s="1" t="str">
        <f aca="false">IF(AND(ISNUMBER(M120),ISNUMBER(N120)),"Ready","Coordinates required")</f>
        <v>Ready</v>
      </c>
      <c r="AX120" s="1" t="str">
        <f aca="false">IF(OR(AT120=TRUE(),AT120="TRUE"),"Demo record",IF(A120="","Missing ID",IF(B120="","Missing name",IF(NOT(AND(ISNUMBER(M120),ISNUMBER(N120))),"Coordinates required","Ready for publication"))))</f>
        <v>Ready for publication</v>
      </c>
    </row>
    <row r="121" customFormat="false" ht="14.25" hidden="false" customHeight="true" outlineLevel="0" collapsed="false">
      <c r="A121" s="1" t="s">
        <v>703</v>
      </c>
      <c r="B121" s="1" t="s">
        <v>676</v>
      </c>
      <c r="C121" s="11" t="s">
        <v>52</v>
      </c>
      <c r="D121" s="1" t="s">
        <v>77</v>
      </c>
      <c r="E121" s="1" t="s">
        <v>78</v>
      </c>
      <c r="F121" s="1" t="str">
        <f aca="false">IF(C121="Singapore",IF(LEN(TEXT(E121,"000000"))=6,LEFT(TEXT(E121,"000000"),2),""),"")</f>
        <v>51</v>
      </c>
      <c r="H121" s="1" t="s">
        <v>70</v>
      </c>
      <c r="I121" s="1" t="s">
        <v>71</v>
      </c>
      <c r="J121" s="1" t="s">
        <v>72</v>
      </c>
      <c r="K121" s="11" t="s">
        <v>276</v>
      </c>
      <c r="L121" s="11" t="s">
        <v>59</v>
      </c>
      <c r="M121" s="1" t="n">
        <v>1.373624</v>
      </c>
      <c r="N121" s="1" t="n">
        <v>103.948691</v>
      </c>
      <c r="O121" s="11" t="s">
        <v>60</v>
      </c>
      <c r="P121" s="1" t="s">
        <v>73</v>
      </c>
      <c r="R121" s="1" t="s">
        <v>62</v>
      </c>
      <c r="AH121" s="1" t="s">
        <v>63</v>
      </c>
      <c r="AI121" s="1" t="s">
        <v>63</v>
      </c>
      <c r="AK121" s="1" t="s">
        <v>79</v>
      </c>
      <c r="AM121" s="12" t="n">
        <v>46311</v>
      </c>
      <c r="AN121" s="1" t="s">
        <v>683</v>
      </c>
      <c r="AT121" s="1" t="s">
        <v>66</v>
      </c>
      <c r="AU121" s="1" t="str">
        <f aca="false">IF(OR(AT121=TRUE(),AT121="TRUE"),"This sample listing is provided solely to demonstrate the directory interface. It does not represent a live declaration, verification, endorsement or participating establishment.","")</f>
        <v/>
      </c>
      <c r="AV121" s="1" t="str">
        <f aca="false">IF(OR(A121="",B121="",C121="",D121=""),"Missing required fields",IF(NOT(AND(ISNUMBER(M121),ISNUMBER(N121))),"Missing coordinates","Complete"))</f>
        <v>Complete</v>
      </c>
      <c r="AW121" s="1" t="str">
        <f aca="false">IF(AND(ISNUMBER(M121),ISNUMBER(N121)),"Ready","Coordinates required")</f>
        <v>Ready</v>
      </c>
      <c r="AX121" s="1" t="str">
        <f aca="false">IF(OR(AT121=TRUE(),AT121="TRUE"),"Demo record",IF(A121="","Missing ID",IF(B121="","Missing name",IF(NOT(AND(ISNUMBER(M121),ISNUMBER(N121))),"Coordinates required","Ready for publication"))))</f>
        <v>Ready for publication</v>
      </c>
    </row>
    <row r="122" customFormat="false" ht="14.25" hidden="false" customHeight="true" outlineLevel="0" collapsed="false">
      <c r="A122" s="1" t="s">
        <v>704</v>
      </c>
      <c r="B122" s="1" t="s">
        <v>705</v>
      </c>
      <c r="C122" s="11" t="s">
        <v>52</v>
      </c>
      <c r="D122" s="1" t="s">
        <v>706</v>
      </c>
      <c r="E122" s="1" t="s">
        <v>707</v>
      </c>
      <c r="F122" s="1" t="str">
        <f aca="false">IF(C122="Singapore",IF(LEN(TEXT(E122,"000000"))=6,LEFT(TEXT(E122,"000000"),2),""),"")</f>
        <v>34</v>
      </c>
      <c r="H122" s="1" t="s">
        <v>321</v>
      </c>
      <c r="I122" s="1" t="s">
        <v>187</v>
      </c>
      <c r="J122" s="1" t="s">
        <v>188</v>
      </c>
      <c r="K122" s="11" t="s">
        <v>129</v>
      </c>
      <c r="L122" s="11" t="s">
        <v>59</v>
      </c>
      <c r="M122" s="1" t="n">
        <v>1.329863</v>
      </c>
      <c r="N122" s="1" t="n">
        <v>103.874013</v>
      </c>
      <c r="O122" s="11" t="s">
        <v>60</v>
      </c>
      <c r="P122" s="1" t="s">
        <v>73</v>
      </c>
      <c r="R122" s="1" t="s">
        <v>62</v>
      </c>
      <c r="AH122" s="1" t="s">
        <v>63</v>
      </c>
      <c r="AI122" s="1" t="s">
        <v>63</v>
      </c>
      <c r="AK122" s="1" t="s">
        <v>189</v>
      </c>
      <c r="AM122" s="12" t="n">
        <v>46311</v>
      </c>
      <c r="AT122" s="1" t="s">
        <v>66</v>
      </c>
      <c r="AU122" s="1" t="str">
        <f aca="false">IF(OR(AT122=TRUE(),AT122="TRUE"),"This sample listing is provided solely to demonstrate the directory interface. It does not represent a live declaration, verification, endorsement or participating establishment.","")</f>
        <v/>
      </c>
      <c r="AV122" s="1" t="str">
        <f aca="false">IF(OR(A122="",B122="",C122="",D122=""),"Missing required fields",IF(NOT(AND(ISNUMBER(M122),ISNUMBER(N122))),"Missing coordinates","Complete"))</f>
        <v>Complete</v>
      </c>
      <c r="AW122" s="1" t="str">
        <f aca="false">IF(AND(ISNUMBER(M122),ISNUMBER(N122)),"Ready","Coordinates required")</f>
        <v>Ready</v>
      </c>
      <c r="AX122" s="1" t="str">
        <f aca="false">IF(OR(AT122=TRUE(),AT122="TRUE"),"Demo record",IF(A122="","Missing ID",IF(B122="","Missing name",IF(NOT(AND(ISNUMBER(M122),ISNUMBER(N122))),"Coordinates required","Ready for publication"))))</f>
        <v>Ready for publication</v>
      </c>
    </row>
    <row r="123" customFormat="false" ht="16.5" hidden="false" customHeight="true" outlineLevel="0" collapsed="false">
      <c r="A123" s="1" t="s">
        <v>708</v>
      </c>
      <c r="B123" s="1" t="s">
        <v>709</v>
      </c>
      <c r="C123" s="11" t="s">
        <v>52</v>
      </c>
      <c r="D123" s="1" t="s">
        <v>710</v>
      </c>
      <c r="F123" s="1" t="str">
        <f aca="false">IF(C123="Singapore",IF(LEN(TEXT(E123,"000000"))=6,LEFT(TEXT(E123,"000000"),2),""),"")</f>
        <v>00</v>
      </c>
      <c r="K123" s="11" t="s">
        <v>414</v>
      </c>
      <c r="L123" s="11" t="s">
        <v>59</v>
      </c>
      <c r="M123" s="1" t="n">
        <v>1.3334</v>
      </c>
      <c r="N123" s="1" t="n">
        <v>103.743012</v>
      </c>
      <c r="O123" s="11" t="s">
        <v>60</v>
      </c>
      <c r="P123" s="1" t="s">
        <v>73</v>
      </c>
      <c r="R123" s="1" t="s">
        <v>62</v>
      </c>
      <c r="AH123" s="1" t="s">
        <v>63</v>
      </c>
      <c r="AI123" s="1" t="s">
        <v>63</v>
      </c>
      <c r="AK123" s="1" t="s">
        <v>202</v>
      </c>
      <c r="AM123" s="12" t="n">
        <v>46311</v>
      </c>
      <c r="AT123" s="1" t="s">
        <v>66</v>
      </c>
      <c r="AU123" s="1" t="str">
        <f aca="false">IF(OR(AT123=TRUE(),AT123="TRUE"),"This sample listing is provided solely to demonstrate the directory interface. It does not represent a live declaration, verification, endorsement or participating establishment.","")</f>
        <v/>
      </c>
      <c r="AV123" s="1" t="str">
        <f aca="false">IF(OR(A123="",B123="",C123="",D123=""),"Missing required fields",IF(NOT(AND(ISNUMBER(M123),ISNUMBER(N123))),"Missing coordinates","Complete"))</f>
        <v>Complete</v>
      </c>
      <c r="AW123" s="1" t="str">
        <f aca="false">IF(AND(ISNUMBER(M123),ISNUMBER(N123)),"Ready","Coordinates required")</f>
        <v>Ready</v>
      </c>
      <c r="AX123" s="1" t="str">
        <f aca="false">IF(OR(AT123=TRUE(),AT123="TRUE"),"Demo record",IF(A123="","Missing ID",IF(B123="","Missing name",IF(NOT(AND(ISNUMBER(M123),ISNUMBER(N123))),"Coordinates required","Ready for publication"))))</f>
        <v>Ready for publication</v>
      </c>
    </row>
    <row r="124" customFormat="false" ht="14.25" hidden="false" customHeight="true" outlineLevel="0" collapsed="false">
      <c r="A124" s="1" t="s">
        <v>711</v>
      </c>
      <c r="B124" s="1" t="s">
        <v>712</v>
      </c>
      <c r="C124" s="11" t="s">
        <v>52</v>
      </c>
      <c r="D124" s="1" t="s">
        <v>68</v>
      </c>
      <c r="E124" s="1" t="s">
        <v>69</v>
      </c>
      <c r="F124" s="1" t="str">
        <f aca="false">IF(C124="Singapore",IF(LEN(TEXT(E124,"000000"))=6,LEFT(TEXT(E124,"000000"),2),""),"")</f>
        <v>51</v>
      </c>
      <c r="H124" s="1" t="s">
        <v>70</v>
      </c>
      <c r="I124" s="1" t="s">
        <v>71</v>
      </c>
      <c r="J124" s="1" t="s">
        <v>72</v>
      </c>
      <c r="K124" s="11"/>
      <c r="L124" s="11" t="s">
        <v>59</v>
      </c>
      <c r="M124" s="1" t="n">
        <v>1.372686</v>
      </c>
      <c r="N124" s="1" t="n">
        <v>103.949487</v>
      </c>
      <c r="O124" s="11" t="s">
        <v>60</v>
      </c>
      <c r="P124" s="1" t="s">
        <v>73</v>
      </c>
      <c r="R124" s="1" t="s">
        <v>62</v>
      </c>
      <c r="AH124" s="1" t="s">
        <v>63</v>
      </c>
      <c r="AI124" s="1" t="s">
        <v>63</v>
      </c>
      <c r="AK124" s="1" t="s">
        <v>79</v>
      </c>
      <c r="AM124" s="12" t="n">
        <v>46311</v>
      </c>
      <c r="AN124" s="1" t="s">
        <v>713</v>
      </c>
      <c r="AT124" s="1" t="s">
        <v>66</v>
      </c>
      <c r="AU124" s="1" t="str">
        <f aca="false">IF(OR(AT124=TRUE(),AT124="TRUE"),"This sample listing is provided solely to demonstrate the directory interface. It does not represent a live declaration, verification, endorsement or participating establishment.","")</f>
        <v/>
      </c>
      <c r="AV124" s="1" t="str">
        <f aca="false">IF(OR(A124="",B124="",C124="",D124=""),"Missing required fields",IF(NOT(AND(ISNUMBER(M124),ISNUMBER(N124))),"Missing coordinates","Complete"))</f>
        <v>Complete</v>
      </c>
      <c r="AW124" s="1" t="str">
        <f aca="false">IF(AND(ISNUMBER(M124),ISNUMBER(N124)),"Ready","Coordinates required")</f>
        <v>Ready</v>
      </c>
      <c r="AX124" s="1" t="str">
        <f aca="false">IF(OR(AT124=TRUE(),AT124="TRUE"),"Demo record",IF(A124="","Missing ID",IF(B124="","Missing name",IF(NOT(AND(ISNUMBER(M124),ISNUMBER(N124))),"Coordinates required","Ready for publication"))))</f>
        <v>Ready for publication</v>
      </c>
    </row>
    <row r="125" customFormat="false" ht="14.25" hidden="false" customHeight="true" outlineLevel="0" collapsed="false">
      <c r="A125" s="1" t="s">
        <v>714</v>
      </c>
      <c r="B125" s="1" t="s">
        <v>712</v>
      </c>
      <c r="C125" s="11" t="s">
        <v>52</v>
      </c>
      <c r="D125" s="1" t="s">
        <v>654</v>
      </c>
      <c r="E125" s="1" t="s">
        <v>655</v>
      </c>
      <c r="F125" s="1" t="str">
        <f aca="false">IF(C125="Singapore",IF(LEN(TEXT(E125,"000000"))=6,LEFT(TEXT(E125,"000000"),2),""),"")</f>
        <v>12</v>
      </c>
      <c r="H125" s="1" t="s">
        <v>364</v>
      </c>
      <c r="I125" s="1" t="s">
        <v>365</v>
      </c>
      <c r="J125" s="1" t="s">
        <v>366</v>
      </c>
      <c r="K125" s="11"/>
      <c r="L125" s="11" t="s">
        <v>197</v>
      </c>
      <c r="M125" s="1" t="n">
        <v>1.315068</v>
      </c>
      <c r="N125" s="1" t="n">
        <v>103.764509</v>
      </c>
      <c r="O125" s="11" t="s">
        <v>60</v>
      </c>
      <c r="P125" s="1" t="s">
        <v>73</v>
      </c>
      <c r="R125" s="1" t="s">
        <v>62</v>
      </c>
      <c r="AH125" s="1" t="s">
        <v>63</v>
      </c>
      <c r="AI125" s="1" t="s">
        <v>63</v>
      </c>
      <c r="AK125" s="1" t="s">
        <v>656</v>
      </c>
      <c r="AM125" s="12" t="n">
        <v>46311</v>
      </c>
      <c r="AT125" s="1" t="s">
        <v>66</v>
      </c>
      <c r="AU125" s="1" t="str">
        <f aca="false">IF(OR(AT125=TRUE(),AT125="TRUE"),"This sample listing is provided solely to demonstrate the directory interface. It does not represent a live declaration, verification, endorsement or participating establishment.","")</f>
        <v/>
      </c>
      <c r="AV125" s="1" t="str">
        <f aca="false">IF(OR(A125="",B125="",C125="",D125=""),"Missing required fields",IF(NOT(AND(ISNUMBER(M125),ISNUMBER(N125))),"Missing coordinates","Complete"))</f>
        <v>Complete</v>
      </c>
      <c r="AW125" s="1" t="str">
        <f aca="false">IF(AND(ISNUMBER(M125),ISNUMBER(N125)),"Ready","Coordinates required")</f>
        <v>Ready</v>
      </c>
      <c r="AX125" s="1" t="str">
        <f aca="false">IF(OR(AT125=TRUE(),AT125="TRUE"),"Demo record",IF(A125="","Missing ID",IF(B125="","Missing name",IF(NOT(AND(ISNUMBER(M125),ISNUMBER(N125))),"Coordinates required","Ready for publication"))))</f>
        <v>Ready for publication</v>
      </c>
    </row>
    <row r="126" customFormat="false" ht="14.25" hidden="false" customHeight="true" outlineLevel="0" collapsed="false">
      <c r="A126" s="1" t="s">
        <v>715</v>
      </c>
      <c r="B126" s="1" t="s">
        <v>716</v>
      </c>
      <c r="C126" s="11" t="s">
        <v>52</v>
      </c>
      <c r="D126" s="1" t="s">
        <v>717</v>
      </c>
      <c r="E126" s="1" t="s">
        <v>718</v>
      </c>
      <c r="F126" s="1" t="str">
        <f aca="false">IF(C126="Singapore",IF(LEN(TEXT(E126,"000000"))=6,LEFT(TEXT(E126,"000000"),2),""),"")</f>
        <v>52</v>
      </c>
      <c r="H126" s="1" t="s">
        <v>70</v>
      </c>
      <c r="I126" s="1" t="s">
        <v>71</v>
      </c>
      <c r="J126" s="1" t="s">
        <v>72</v>
      </c>
      <c r="K126" s="11" t="s">
        <v>129</v>
      </c>
      <c r="L126" s="11" t="s">
        <v>59</v>
      </c>
      <c r="M126" s="1" t="n">
        <v>1.361153</v>
      </c>
      <c r="N126" s="1" t="n">
        <v>103.953535</v>
      </c>
      <c r="O126" s="11" t="s">
        <v>60</v>
      </c>
      <c r="P126" s="1" t="s">
        <v>73</v>
      </c>
      <c r="R126" s="1" t="s">
        <v>62</v>
      </c>
      <c r="AH126" s="1" t="s">
        <v>63</v>
      </c>
      <c r="AI126" s="1" t="s">
        <v>63</v>
      </c>
      <c r="AK126" s="1" t="s">
        <v>130</v>
      </c>
      <c r="AM126" s="12" t="n">
        <v>46311</v>
      </c>
      <c r="AT126" s="1" t="s">
        <v>66</v>
      </c>
      <c r="AU126" s="1" t="str">
        <f aca="false">IF(OR(AT126=TRUE(),AT126="TRUE"),"This sample listing is provided solely to demonstrate the directory interface. It does not represent a live declaration, verification, endorsement or participating establishment.","")</f>
        <v/>
      </c>
      <c r="AV126" s="1" t="str">
        <f aca="false">IF(OR(A126="",B126="",C126="",D126=""),"Missing required fields",IF(NOT(AND(ISNUMBER(M126),ISNUMBER(N126))),"Missing coordinates","Complete"))</f>
        <v>Complete</v>
      </c>
      <c r="AW126" s="1" t="str">
        <f aca="false">IF(AND(ISNUMBER(M126),ISNUMBER(N126)),"Ready","Coordinates required")</f>
        <v>Ready</v>
      </c>
      <c r="AX126" s="1" t="str">
        <f aca="false">IF(OR(AT126=TRUE(),AT126="TRUE"),"Demo record",IF(A126="","Missing ID",IF(B126="","Missing name",IF(NOT(AND(ISNUMBER(M126),ISNUMBER(N126))),"Coordinates required","Ready for publication"))))</f>
        <v>Ready for publication</v>
      </c>
    </row>
    <row r="127" customFormat="false" ht="14.25" hidden="false" customHeight="true" outlineLevel="0" collapsed="false">
      <c r="A127" s="1" t="s">
        <v>719</v>
      </c>
      <c r="B127" s="1" t="s">
        <v>720</v>
      </c>
      <c r="C127" s="11" t="s">
        <v>52</v>
      </c>
      <c r="D127" s="1" t="s">
        <v>721</v>
      </c>
      <c r="F127" s="1" t="str">
        <f aca="false">IF(C127="Singapore",IF(LEN(TEXT(E127,"000000"))=6,LEFT(TEXT(E127,"000000"),2),""),"")</f>
        <v>00</v>
      </c>
      <c r="K127" s="11" t="s">
        <v>722</v>
      </c>
      <c r="L127" s="11" t="s">
        <v>59</v>
      </c>
      <c r="M127" s="1" t="n">
        <v>1.453447</v>
      </c>
      <c r="N127" s="1" t="n">
        <v>103.832456</v>
      </c>
      <c r="O127" s="11" t="s">
        <v>60</v>
      </c>
      <c r="P127" s="1" t="s">
        <v>61</v>
      </c>
      <c r="R127" s="1" t="s">
        <v>62</v>
      </c>
      <c r="AH127" s="1" t="s">
        <v>63</v>
      </c>
      <c r="AI127" s="1" t="s">
        <v>63</v>
      </c>
      <c r="AK127" s="1" t="s">
        <v>723</v>
      </c>
      <c r="AM127" s="12" t="n">
        <v>46311</v>
      </c>
      <c r="AT127" s="1" t="s">
        <v>66</v>
      </c>
      <c r="AU127" s="1" t="str">
        <f aca="false">IF(OR(AT127=TRUE(),AT127="TRUE"),"This sample listing is provided solely to demonstrate the directory interface. It does not represent a live declaration, verification, endorsement or participating establishment.","")</f>
        <v/>
      </c>
      <c r="AV127" s="1" t="str">
        <f aca="false">IF(OR(A127="",B127="",C127="",D127=""),"Missing required fields",IF(NOT(AND(ISNUMBER(M127),ISNUMBER(N127))),"Missing coordinates","Complete"))</f>
        <v>Complete</v>
      </c>
      <c r="AW127" s="1" t="str">
        <f aca="false">IF(AND(ISNUMBER(M127),ISNUMBER(N127)),"Ready","Coordinates required")</f>
        <v>Ready</v>
      </c>
      <c r="AX127" s="1" t="str">
        <f aca="false">IF(OR(AT127=TRUE(),AT127="TRUE"),"Demo record",IF(A127="","Missing ID",IF(B127="","Missing name",IF(NOT(AND(ISNUMBER(M127),ISNUMBER(N127))),"Coordinates required","Ready for publication"))))</f>
        <v>Ready for publication</v>
      </c>
    </row>
    <row r="128" customFormat="false" ht="14.25" hidden="false" customHeight="true" outlineLevel="0" collapsed="false">
      <c r="A128" s="1" t="s">
        <v>724</v>
      </c>
      <c r="B128" s="1" t="s">
        <v>725</v>
      </c>
      <c r="C128" s="11" t="s">
        <v>52</v>
      </c>
      <c r="D128" s="1" t="s">
        <v>726</v>
      </c>
      <c r="E128" s="1" t="s">
        <v>727</v>
      </c>
      <c r="F128" s="1" t="str">
        <f aca="false">IF(C128="Singapore",IF(LEN(TEXT(E128,"000000"))=6,LEFT(TEXT(E128,"000000"),2),""),"")</f>
        <v>06</v>
      </c>
      <c r="H128" s="1" t="s">
        <v>193</v>
      </c>
      <c r="I128" s="1" t="s">
        <v>194</v>
      </c>
      <c r="J128" s="1" t="s">
        <v>195</v>
      </c>
      <c r="K128" s="11" t="s">
        <v>728</v>
      </c>
      <c r="L128" s="11" t="s">
        <v>59</v>
      </c>
      <c r="M128" s="1" t="n">
        <v>1.280159</v>
      </c>
      <c r="N128" s="1" t="n">
        <v>103.844768</v>
      </c>
      <c r="O128" s="11" t="s">
        <v>60</v>
      </c>
      <c r="P128" s="1" t="s">
        <v>73</v>
      </c>
      <c r="R128" s="1" t="s">
        <v>62</v>
      </c>
      <c r="AH128" s="1" t="s">
        <v>63</v>
      </c>
      <c r="AI128" s="1" t="s">
        <v>63</v>
      </c>
      <c r="AK128" s="1" t="s">
        <v>729</v>
      </c>
      <c r="AM128" s="12" t="n">
        <v>46311</v>
      </c>
      <c r="AT128" s="1" t="s">
        <v>66</v>
      </c>
      <c r="AU128" s="1" t="str">
        <f aca="false">IF(OR(AT128=TRUE(),AT128="TRUE"),"This sample listing is provided solely to demonstrate the directory interface. It does not represent a live declaration, verification, endorsement or participating establishment.","")</f>
        <v/>
      </c>
      <c r="AV128" s="1" t="str">
        <f aca="false">IF(OR(A128="",B128="",C128="",D128=""),"Missing required fields",IF(NOT(AND(ISNUMBER(M128),ISNUMBER(N128))),"Missing coordinates","Complete"))</f>
        <v>Complete</v>
      </c>
      <c r="AW128" s="1" t="str">
        <f aca="false">IF(AND(ISNUMBER(M128),ISNUMBER(N128)),"Ready","Coordinates required")</f>
        <v>Ready</v>
      </c>
      <c r="AX128" s="1" t="str">
        <f aca="false">IF(OR(AT128=TRUE(),AT128="TRUE"),"Demo record",IF(A128="","Missing ID",IF(B128="","Missing name",IF(NOT(AND(ISNUMBER(M128),ISNUMBER(N128))),"Coordinates required","Ready for publication"))))</f>
        <v>Ready for publication</v>
      </c>
    </row>
    <row r="129" customFormat="false" ht="14.25" hidden="false" customHeight="true" outlineLevel="0" collapsed="false">
      <c r="A129" s="1" t="s">
        <v>730</v>
      </c>
      <c r="B129" s="1" t="s">
        <v>731</v>
      </c>
      <c r="C129" s="11" t="s">
        <v>52</v>
      </c>
      <c r="D129" s="1" t="s">
        <v>732</v>
      </c>
      <c r="F129" s="1" t="str">
        <f aca="false">IF(C129="Singapore",IF(LEN(TEXT(E129,"000000"))=6,LEFT(TEXT(E129,"000000"),2),""),"")</f>
        <v>00</v>
      </c>
      <c r="K129" s="11" t="s">
        <v>102</v>
      </c>
      <c r="L129" s="11" t="s">
        <v>59</v>
      </c>
      <c r="M129" s="1" t="n">
        <v>1.308031</v>
      </c>
      <c r="N129" s="1" t="n">
        <v>103.854017</v>
      </c>
      <c r="O129" s="11" t="s">
        <v>60</v>
      </c>
      <c r="P129" s="1" t="s">
        <v>73</v>
      </c>
      <c r="R129" s="1" t="s">
        <v>62</v>
      </c>
      <c r="AH129" s="1" t="s">
        <v>63</v>
      </c>
      <c r="AI129" s="1" t="s">
        <v>63</v>
      </c>
      <c r="AK129" s="1" t="s">
        <v>733</v>
      </c>
      <c r="AM129" s="12" t="n">
        <v>46311</v>
      </c>
      <c r="AN129" s="1" t="s">
        <v>734</v>
      </c>
      <c r="AT129" s="1" t="s">
        <v>66</v>
      </c>
      <c r="AU129" s="1" t="str">
        <f aca="false">IF(OR(AT129=TRUE(),AT129="TRUE"),"This sample listing is provided solely to demonstrate the directory interface. It does not represent a live declaration, verification, endorsement or participating establishment.","")</f>
        <v/>
      </c>
      <c r="AV129" s="1" t="str">
        <f aca="false">IF(OR(A129="",B129="",C129="",D129=""),"Missing required fields",IF(NOT(AND(ISNUMBER(M129),ISNUMBER(N129))),"Missing coordinates","Complete"))</f>
        <v>Complete</v>
      </c>
      <c r="AW129" s="1" t="str">
        <f aca="false">IF(AND(ISNUMBER(M129),ISNUMBER(N129)),"Ready","Coordinates required")</f>
        <v>Ready</v>
      </c>
      <c r="AX129" s="1" t="str">
        <f aca="false">IF(OR(AT129=TRUE(),AT129="TRUE"),"Demo record",IF(A129="","Missing ID",IF(B129="","Missing name",IF(NOT(AND(ISNUMBER(M129),ISNUMBER(N129))),"Coordinates required","Ready for publication"))))</f>
        <v>Ready for publication</v>
      </c>
    </row>
    <row r="130" customFormat="false" ht="14.25" hidden="false" customHeight="true" outlineLevel="0" collapsed="false">
      <c r="A130" s="1" t="s">
        <v>735</v>
      </c>
      <c r="B130" s="1" t="s">
        <v>736</v>
      </c>
      <c r="C130" s="11" t="s">
        <v>52</v>
      </c>
      <c r="D130" s="1" t="s">
        <v>737</v>
      </c>
      <c r="E130" s="1" t="s">
        <v>86</v>
      </c>
      <c r="F130" s="1" t="str">
        <f aca="false">IF(C130="Singapore",IF(LEN(TEXT(E130,"000000"))=6,LEFT(TEXT(E130,"000000"),2),""),"")</f>
        <v>67</v>
      </c>
      <c r="H130" s="1" t="s">
        <v>87</v>
      </c>
      <c r="I130" s="1" t="s">
        <v>88</v>
      </c>
      <c r="J130" s="1" t="s">
        <v>89</v>
      </c>
      <c r="K130" s="11"/>
      <c r="L130" s="11" t="s">
        <v>247</v>
      </c>
      <c r="M130" s="1" t="n">
        <v>1.38716</v>
      </c>
      <c r="N130" s="1" t="n">
        <v>103.760992</v>
      </c>
      <c r="O130" s="11" t="s">
        <v>60</v>
      </c>
      <c r="P130" s="1" t="s">
        <v>73</v>
      </c>
      <c r="R130" s="1" t="s">
        <v>62</v>
      </c>
      <c r="AH130" s="1" t="s">
        <v>63</v>
      </c>
      <c r="AI130" s="1" t="s">
        <v>63</v>
      </c>
      <c r="AK130" s="1" t="s">
        <v>738</v>
      </c>
      <c r="AM130" s="12" t="n">
        <v>46311</v>
      </c>
      <c r="AT130" s="1" t="s">
        <v>66</v>
      </c>
      <c r="AU130" s="1" t="str">
        <f aca="false">IF(OR(AT130=TRUE(),AT130="TRUE"),"This sample listing is provided solely to demonstrate the directory interface. It does not represent a live declaration, verification, endorsement or participating establishment.","")</f>
        <v/>
      </c>
      <c r="AV130" s="1" t="str">
        <f aca="false">IF(OR(A130="",B130="",C130="",D130=""),"Missing required fields",IF(NOT(AND(ISNUMBER(M130),ISNUMBER(N130))),"Missing coordinates","Complete"))</f>
        <v>Complete</v>
      </c>
      <c r="AW130" s="1" t="str">
        <f aca="false">IF(AND(ISNUMBER(M130),ISNUMBER(N130)),"Ready","Coordinates required")</f>
        <v>Ready</v>
      </c>
      <c r="AX130" s="1" t="str">
        <f aca="false">IF(OR(AT130=TRUE(),AT130="TRUE"),"Demo record",IF(A130="","Missing ID",IF(B130="","Missing name",IF(NOT(AND(ISNUMBER(M130),ISNUMBER(N130))),"Coordinates required","Ready for publication"))))</f>
        <v>Ready for publication</v>
      </c>
    </row>
    <row r="131" customFormat="false" ht="14.25" hidden="false" customHeight="true" outlineLevel="0" collapsed="false">
      <c r="A131" s="1" t="s">
        <v>739</v>
      </c>
      <c r="B131" s="1" t="s">
        <v>740</v>
      </c>
      <c r="C131" s="11" t="s">
        <v>52</v>
      </c>
      <c r="D131" s="1" t="s">
        <v>741</v>
      </c>
      <c r="E131" s="1" t="s">
        <v>742</v>
      </c>
      <c r="F131" s="1" t="str">
        <f aca="false">IF(C131="Singapore",IF(LEN(TEXT(E131,"000000"))=6,LEFT(TEXT(E131,"000000"),2),""),"")</f>
        <v>11</v>
      </c>
      <c r="H131" s="1" t="s">
        <v>364</v>
      </c>
      <c r="I131" s="1" t="s">
        <v>365</v>
      </c>
      <c r="J131" s="1" t="s">
        <v>366</v>
      </c>
      <c r="K131" s="11" t="s">
        <v>123</v>
      </c>
      <c r="L131" s="11" t="s">
        <v>59</v>
      </c>
      <c r="M131" s="1" t="n">
        <v>1.294447</v>
      </c>
      <c r="N131" s="1" t="n">
        <v>103.772428</v>
      </c>
      <c r="O131" s="11" t="s">
        <v>60</v>
      </c>
      <c r="P131" s="1" t="s">
        <v>73</v>
      </c>
      <c r="R131" s="1" t="s">
        <v>62</v>
      </c>
      <c r="AH131" s="1" t="s">
        <v>63</v>
      </c>
      <c r="AI131" s="1" t="s">
        <v>63</v>
      </c>
      <c r="AK131" s="1" t="s">
        <v>743</v>
      </c>
      <c r="AM131" s="12" t="n">
        <v>46311</v>
      </c>
      <c r="AT131" s="1" t="s">
        <v>66</v>
      </c>
      <c r="AU131" s="1" t="str">
        <f aca="false">IF(OR(AT131=TRUE(),AT131="TRUE"),"This sample listing is provided solely to demonstrate the directory interface. It does not represent a live declaration, verification, endorsement or participating establishment.","")</f>
        <v/>
      </c>
      <c r="AV131" s="1" t="str">
        <f aca="false">IF(OR(A131="",B131="",C131="",D131=""),"Missing required fields",IF(NOT(AND(ISNUMBER(M131),ISNUMBER(N131))),"Missing coordinates","Complete"))</f>
        <v>Complete</v>
      </c>
      <c r="AW131" s="1" t="str">
        <f aca="false">IF(AND(ISNUMBER(M131),ISNUMBER(N131)),"Ready","Coordinates required")</f>
        <v>Ready</v>
      </c>
      <c r="AX131" s="1" t="str">
        <f aca="false">IF(OR(AT131=TRUE(),AT131="TRUE"),"Demo record",IF(A131="","Missing ID",IF(B131="","Missing name",IF(NOT(AND(ISNUMBER(M131),ISNUMBER(N131))),"Coordinates required","Ready for publication"))))</f>
        <v>Ready for publication</v>
      </c>
    </row>
    <row r="132" customFormat="false" ht="14.25" hidden="false" customHeight="true" outlineLevel="0" collapsed="false">
      <c r="A132" s="1" t="s">
        <v>744</v>
      </c>
      <c r="B132" s="1" t="s">
        <v>745</v>
      </c>
      <c r="C132" s="11" t="s">
        <v>52</v>
      </c>
      <c r="D132" s="1" t="s">
        <v>746</v>
      </c>
      <c r="F132" s="1" t="str">
        <f aca="false">IF(C132="Singapore",IF(LEN(TEXT(E132,"000000"))=6,LEFT(TEXT(E132,"000000"),2),""),"")</f>
        <v>00</v>
      </c>
      <c r="K132" s="11" t="s">
        <v>241</v>
      </c>
      <c r="L132" s="11" t="s">
        <v>59</v>
      </c>
      <c r="M132" s="1" t="n">
        <v>1.304709</v>
      </c>
      <c r="N132" s="1" t="n">
        <v>103.902828</v>
      </c>
      <c r="O132" s="11" t="s">
        <v>60</v>
      </c>
      <c r="P132" s="1" t="s">
        <v>73</v>
      </c>
      <c r="R132" s="1" t="s">
        <v>62</v>
      </c>
      <c r="AH132" s="1" t="s">
        <v>63</v>
      </c>
      <c r="AI132" s="1" t="s">
        <v>63</v>
      </c>
      <c r="AK132" s="1" t="s">
        <v>747</v>
      </c>
      <c r="AM132" s="12" t="n">
        <v>46311</v>
      </c>
      <c r="AT132" s="1" t="s">
        <v>66</v>
      </c>
      <c r="AU132" s="1" t="str">
        <f aca="false">IF(OR(AT132=TRUE(),AT132="TRUE"),"This sample listing is provided solely to demonstrate the directory interface. It does not represent a live declaration, verification, endorsement or participating establishment.","")</f>
        <v/>
      </c>
      <c r="AV132" s="1" t="str">
        <f aca="false">IF(OR(A132="",B132="",C132="",D132=""),"Missing required fields",IF(NOT(AND(ISNUMBER(M132),ISNUMBER(N132))),"Missing coordinates","Complete"))</f>
        <v>Complete</v>
      </c>
      <c r="AW132" s="1" t="str">
        <f aca="false">IF(AND(ISNUMBER(M132),ISNUMBER(N132)),"Ready","Coordinates required")</f>
        <v>Ready</v>
      </c>
      <c r="AX132" s="1" t="str">
        <f aca="false">IF(OR(AT132=TRUE(),AT132="TRUE"),"Demo record",IF(A132="","Missing ID",IF(B132="","Missing name",IF(NOT(AND(ISNUMBER(M132),ISNUMBER(N132))),"Coordinates required","Ready for publication"))))</f>
        <v>Ready for publication</v>
      </c>
    </row>
    <row r="133" customFormat="false" ht="14.25" hidden="false" customHeight="true" outlineLevel="0" collapsed="false">
      <c r="A133" s="1" t="s">
        <v>748</v>
      </c>
      <c r="B133" s="1" t="s">
        <v>749</v>
      </c>
      <c r="C133" s="11" t="s">
        <v>52</v>
      </c>
      <c r="D133" s="1" t="s">
        <v>750</v>
      </c>
      <c r="E133" s="1" t="s">
        <v>751</v>
      </c>
      <c r="F133" s="1" t="str">
        <f aca="false">IF(C133="Singapore",IF(LEN(TEXT(E133,"000000"))=6,LEFT(TEXT(E133,"000000"),2),""),"")</f>
        <v>19</v>
      </c>
      <c r="H133" s="1" t="s">
        <v>222</v>
      </c>
      <c r="I133" s="1" t="s">
        <v>223</v>
      </c>
      <c r="J133" s="1" t="s">
        <v>224</v>
      </c>
      <c r="K133" s="11" t="s">
        <v>102</v>
      </c>
      <c r="L133" s="11" t="s">
        <v>59</v>
      </c>
      <c r="M133" s="1" t="n">
        <v>1.301862</v>
      </c>
      <c r="N133" s="1" t="n">
        <v>103.860641</v>
      </c>
      <c r="O133" s="11" t="s">
        <v>60</v>
      </c>
      <c r="P133" s="1" t="s">
        <v>73</v>
      </c>
      <c r="R133" s="1" t="s">
        <v>62</v>
      </c>
      <c r="AH133" s="1" t="s">
        <v>63</v>
      </c>
      <c r="AI133" s="1" t="s">
        <v>63</v>
      </c>
      <c r="AK133" s="1" t="s">
        <v>752</v>
      </c>
      <c r="AM133" s="12" t="s">
        <v>65</v>
      </c>
      <c r="AT133" s="1" t="s">
        <v>66</v>
      </c>
      <c r="AU133" s="1" t="str">
        <f aca="false">IF(OR(AT133=TRUE(),AT133="TRUE"),"This sample listing is provided solely to demonstrate the directory interface. It does not represent a live declaration, verification, endorsement or participating establishment.","")</f>
        <v/>
      </c>
      <c r="AV133" s="1" t="str">
        <f aca="false">IF(OR(A133="",B133="",C133="",D133=""),"Missing required fields",IF(NOT(AND(ISNUMBER(M133),ISNUMBER(N133))),"Missing coordinates","Complete"))</f>
        <v>Complete</v>
      </c>
      <c r="AW133" s="1" t="str">
        <f aca="false">IF(AND(ISNUMBER(M133),ISNUMBER(N133)),"Ready","Coordinates required")</f>
        <v>Ready</v>
      </c>
      <c r="AX133" s="1" t="str">
        <f aca="false">IF(OR(AT133=TRUE(),AT133="TRUE"),"Demo record",IF(A133="","Missing ID",IF(B133="","Missing name",IF(NOT(AND(ISNUMBER(M133),ISNUMBER(N133))),"Coordinates required","Ready for publication"))))</f>
        <v>Ready for publication</v>
      </c>
    </row>
    <row r="134" customFormat="false" ht="14.25" hidden="false" customHeight="true" outlineLevel="0" collapsed="false">
      <c r="A134" s="1" t="s">
        <v>753</v>
      </c>
      <c r="B134" s="1" t="s">
        <v>754</v>
      </c>
      <c r="C134" s="11" t="s">
        <v>52</v>
      </c>
      <c r="D134" s="1" t="s">
        <v>755</v>
      </c>
      <c r="E134" s="1" t="s">
        <v>475</v>
      </c>
      <c r="F134" s="1" t="str">
        <f aca="false">IF(C134="Singapore",IF(LEN(TEXT(E134,"000000"))=6,LEFT(TEXT(E134,"000000"),2),""),"")</f>
        <v>43</v>
      </c>
      <c r="H134" s="1" t="s">
        <v>267</v>
      </c>
      <c r="I134" s="1" t="s">
        <v>268</v>
      </c>
      <c r="J134" s="1" t="s">
        <v>269</v>
      </c>
      <c r="K134" s="11" t="s">
        <v>756</v>
      </c>
      <c r="L134" s="11" t="s">
        <v>59</v>
      </c>
      <c r="M134" s="1" t="n">
        <v>1.315375</v>
      </c>
      <c r="N134" s="1" t="n">
        <v>103.895578</v>
      </c>
      <c r="O134" s="11" t="s">
        <v>60</v>
      </c>
      <c r="P134" s="1" t="s">
        <v>73</v>
      </c>
      <c r="R134" s="1" t="s">
        <v>62</v>
      </c>
      <c r="AH134" s="1" t="s">
        <v>63</v>
      </c>
      <c r="AI134" s="1" t="s">
        <v>63</v>
      </c>
      <c r="AK134" s="1" t="s">
        <v>757</v>
      </c>
      <c r="AM134" s="12" t="s">
        <v>65</v>
      </c>
      <c r="AT134" s="1" t="s">
        <v>66</v>
      </c>
      <c r="AU134" s="1" t="str">
        <f aca="false">IF(OR(AT134=TRUE(),AT134="TRUE"),"This sample listing is provided solely to demonstrate the directory interface. It does not represent a live declaration, verification, endorsement or participating establishment.","")</f>
        <v/>
      </c>
      <c r="AV134" s="1" t="str">
        <f aca="false">IF(OR(A134="",B134="",C134="",D134=""),"Missing required fields",IF(NOT(AND(ISNUMBER(M134),ISNUMBER(N134))),"Missing coordinates","Complete"))</f>
        <v>Complete</v>
      </c>
      <c r="AW134" s="1" t="str">
        <f aca="false">IF(AND(ISNUMBER(M134),ISNUMBER(N134)),"Ready","Coordinates required")</f>
        <v>Ready</v>
      </c>
      <c r="AX134" s="1" t="str">
        <f aca="false">IF(OR(AT134=TRUE(),AT134="TRUE"),"Demo record",IF(A134="","Missing ID",IF(B134="","Missing name",IF(NOT(AND(ISNUMBER(M134),ISNUMBER(N134))),"Coordinates required","Ready for publication"))))</f>
        <v>Ready for publication</v>
      </c>
    </row>
    <row r="135" customFormat="false" ht="14.25" hidden="false" customHeight="true" outlineLevel="0" collapsed="false">
      <c r="A135" s="1" t="s">
        <v>758</v>
      </c>
      <c r="B135" s="1" t="s">
        <v>759</v>
      </c>
      <c r="C135" s="11" t="s">
        <v>52</v>
      </c>
      <c r="D135" s="1" t="s">
        <v>760</v>
      </c>
      <c r="E135" s="1" t="s">
        <v>761</v>
      </c>
      <c r="F135" s="1" t="str">
        <f aca="false">IF(C135="Singapore",IF(LEN(TEXT(E135,"000000"))=6,LEFT(TEXT(E135,"000000"),2),""),"")</f>
        <v>65</v>
      </c>
      <c r="H135" s="1" t="s">
        <v>140</v>
      </c>
      <c r="I135" s="1" t="s">
        <v>88</v>
      </c>
      <c r="J135" s="1" t="s">
        <v>89</v>
      </c>
      <c r="K135" s="11" t="s">
        <v>90</v>
      </c>
      <c r="L135" s="11" t="s">
        <v>59</v>
      </c>
      <c r="M135" s="1" t="n">
        <v>1.346793</v>
      </c>
      <c r="N135" s="1" t="n">
        <v>103.755034</v>
      </c>
      <c r="O135" s="11" t="s">
        <v>60</v>
      </c>
      <c r="P135" s="1" t="s">
        <v>73</v>
      </c>
      <c r="R135" s="1" t="s">
        <v>62</v>
      </c>
      <c r="AH135" s="1" t="s">
        <v>63</v>
      </c>
      <c r="AI135" s="1" t="s">
        <v>63</v>
      </c>
      <c r="AK135" s="1" t="s">
        <v>762</v>
      </c>
      <c r="AM135" s="12" t="s">
        <v>65</v>
      </c>
      <c r="AT135" s="1" t="s">
        <v>66</v>
      </c>
      <c r="AU135" s="1" t="str">
        <f aca="false">IF(OR(AT135=TRUE(),AT135="TRUE"),"This sample listing is provided solely to demonstrate the directory interface. It does not represent a live declaration, verification, endorsement or participating establishment.","")</f>
        <v/>
      </c>
      <c r="AV135" s="1" t="str">
        <f aca="false">IF(OR(A135="",B135="",C135="",D135=""),"Missing required fields",IF(NOT(AND(ISNUMBER(M135),ISNUMBER(N135))),"Missing coordinates","Complete"))</f>
        <v>Complete</v>
      </c>
      <c r="AW135" s="1" t="str">
        <f aca="false">IF(AND(ISNUMBER(M135),ISNUMBER(N135)),"Ready","Coordinates required")</f>
        <v>Ready</v>
      </c>
      <c r="AX135" s="1" t="str">
        <f aca="false">IF(OR(AT135=TRUE(),AT135="TRUE"),"Demo record",IF(A135="","Missing ID",IF(B135="","Missing name",IF(NOT(AND(ISNUMBER(M135),ISNUMBER(N135))),"Coordinates required","Ready for publication"))))</f>
        <v>Ready for publication</v>
      </c>
    </row>
    <row r="136" customFormat="false" ht="14.25" hidden="false" customHeight="true" outlineLevel="0" collapsed="false">
      <c r="A136" s="1" t="s">
        <v>763</v>
      </c>
      <c r="B136" s="1" t="s">
        <v>764</v>
      </c>
      <c r="C136" s="11" t="s">
        <v>52</v>
      </c>
      <c r="D136" s="1" t="s">
        <v>765</v>
      </c>
      <c r="E136" s="1" t="s">
        <v>766</v>
      </c>
      <c r="F136" s="1" t="str">
        <f aca="false">IF(C136="Singapore",IF(LEN(TEXT(E136,"000000"))=6,LEFT(TEXT(E136,"000000"),2),""),"")</f>
        <v>11</v>
      </c>
      <c r="H136" s="1" t="s">
        <v>364</v>
      </c>
      <c r="I136" s="1" t="s">
        <v>365</v>
      </c>
      <c r="J136" s="1" t="s">
        <v>366</v>
      </c>
      <c r="K136" s="11" t="s">
        <v>767</v>
      </c>
      <c r="L136" s="11" t="s">
        <v>59</v>
      </c>
      <c r="M136" s="1" t="n">
        <v>1.273509</v>
      </c>
      <c r="N136" s="1" t="n">
        <v>103.801758</v>
      </c>
      <c r="O136" s="11" t="s">
        <v>60</v>
      </c>
      <c r="P136" s="1" t="s">
        <v>73</v>
      </c>
      <c r="R136" s="1" t="s">
        <v>62</v>
      </c>
      <c r="AH136" s="1" t="s">
        <v>63</v>
      </c>
      <c r="AI136" s="1" t="s">
        <v>63</v>
      </c>
      <c r="AK136" s="1" t="s">
        <v>768</v>
      </c>
      <c r="AM136" s="12" t="s">
        <v>65</v>
      </c>
      <c r="AT136" s="1" t="s">
        <v>66</v>
      </c>
      <c r="AU136" s="1" t="str">
        <f aca="false">IF(OR(AT136=TRUE(),AT136="TRUE"),"This sample listing is provided solely to demonstrate the directory interface. It does not represent a live declaration, verification, endorsement or participating establishment.","")</f>
        <v/>
      </c>
      <c r="AV136" s="1" t="str">
        <f aca="false">IF(OR(A136="",B136="",C136="",D136=""),"Missing required fields",IF(NOT(AND(ISNUMBER(M136),ISNUMBER(N136))),"Missing coordinates","Complete"))</f>
        <v>Complete</v>
      </c>
      <c r="AW136" s="1" t="str">
        <f aca="false">IF(AND(ISNUMBER(M136),ISNUMBER(N136)),"Ready","Coordinates required")</f>
        <v>Ready</v>
      </c>
      <c r="AX136" s="1" t="str">
        <f aca="false">IF(OR(AT136=TRUE(),AT136="TRUE"),"Demo record",IF(A136="","Missing ID",IF(B136="","Missing name",IF(NOT(AND(ISNUMBER(M136),ISNUMBER(N136))),"Coordinates required","Ready for publication"))))</f>
        <v>Ready for publication</v>
      </c>
    </row>
    <row r="137" customFormat="false" ht="14.25" hidden="false" customHeight="true" outlineLevel="0" collapsed="false">
      <c r="A137" s="1" t="s">
        <v>769</v>
      </c>
      <c r="B137" s="1" t="s">
        <v>770</v>
      </c>
      <c r="C137" s="11" t="s">
        <v>52</v>
      </c>
      <c r="D137" s="1" t="s">
        <v>771</v>
      </c>
      <c r="E137" s="1" t="s">
        <v>772</v>
      </c>
      <c r="F137" s="1" t="str">
        <f aca="false">IF(C137="Singapore",IF(LEN(TEXT(E137,"000000"))=6,LEFT(TEXT(E137,"000000"),2),""),"")</f>
        <v>34</v>
      </c>
      <c r="H137" s="1" t="s">
        <v>321</v>
      </c>
      <c r="I137" s="1" t="s">
        <v>187</v>
      </c>
      <c r="J137" s="1" t="s">
        <v>188</v>
      </c>
      <c r="K137" s="11" t="s">
        <v>773</v>
      </c>
      <c r="L137" s="11" t="s">
        <v>59</v>
      </c>
      <c r="M137" s="1" t="n">
        <v>1.331154</v>
      </c>
      <c r="N137" s="1" t="n">
        <v>103.868726</v>
      </c>
      <c r="O137" s="11" t="s">
        <v>60</v>
      </c>
      <c r="P137" s="1" t="s">
        <v>73</v>
      </c>
      <c r="R137" s="1" t="s">
        <v>62</v>
      </c>
      <c r="AH137" s="1" t="s">
        <v>63</v>
      </c>
      <c r="AI137" s="1" t="s">
        <v>63</v>
      </c>
      <c r="AK137" s="1" t="s">
        <v>189</v>
      </c>
      <c r="AM137" s="12" t="n">
        <v>46311</v>
      </c>
      <c r="AN137" s="1" t="s">
        <v>774</v>
      </c>
      <c r="AT137" s="1" t="s">
        <v>66</v>
      </c>
      <c r="AU137" s="1" t="str">
        <f aca="false">IF(OR(AT137=TRUE(),AT137="TRUE"),"This sample listing is provided solely to demonstrate the directory interface. It does not represent a live declaration, verification, endorsement or participating establishment.","")</f>
        <v/>
      </c>
      <c r="AV137" s="1" t="str">
        <f aca="false">IF(OR(A137="",B137="",C137="",D137=""),"Missing required fields",IF(NOT(AND(ISNUMBER(M137),ISNUMBER(N137))),"Missing coordinates","Complete"))</f>
        <v>Complete</v>
      </c>
      <c r="AW137" s="1" t="str">
        <f aca="false">IF(AND(ISNUMBER(M137),ISNUMBER(N137)),"Ready","Coordinates required")</f>
        <v>Ready</v>
      </c>
      <c r="AX137" s="1" t="str">
        <f aca="false">IF(OR(AT137=TRUE(),AT137="TRUE"),"Demo record",IF(A137="","Missing ID",IF(B137="","Missing name",IF(NOT(AND(ISNUMBER(M137),ISNUMBER(N137))),"Coordinates required","Ready for publication"))))</f>
        <v>Ready for publication</v>
      </c>
    </row>
    <row r="138" customFormat="false" ht="14.25" hidden="false" customHeight="true" outlineLevel="0" collapsed="false">
      <c r="A138" s="1" t="s">
        <v>775</v>
      </c>
      <c r="B138" s="1" t="s">
        <v>770</v>
      </c>
      <c r="C138" s="11" t="s">
        <v>52</v>
      </c>
      <c r="D138" s="1" t="s">
        <v>68</v>
      </c>
      <c r="E138" s="1" t="s">
        <v>69</v>
      </c>
      <c r="F138" s="1" t="str">
        <f aca="false">IF(C138="Singapore",IF(LEN(TEXT(E138,"000000"))=6,LEFT(TEXT(E138,"000000"),2),""),"")</f>
        <v>51</v>
      </c>
      <c r="H138" s="1" t="s">
        <v>70</v>
      </c>
      <c r="I138" s="1" t="s">
        <v>71</v>
      </c>
      <c r="J138" s="1" t="s">
        <v>72</v>
      </c>
      <c r="K138" s="11" t="s">
        <v>773</v>
      </c>
      <c r="L138" s="11" t="s">
        <v>59</v>
      </c>
      <c r="M138" s="1" t="n">
        <v>1.372683</v>
      </c>
      <c r="N138" s="1" t="n">
        <v>103.949513</v>
      </c>
      <c r="O138" s="11" t="s">
        <v>60</v>
      </c>
      <c r="P138" s="1" t="s">
        <v>73</v>
      </c>
      <c r="R138" s="1" t="s">
        <v>62</v>
      </c>
      <c r="AH138" s="1" t="s">
        <v>63</v>
      </c>
      <c r="AI138" s="1" t="s">
        <v>63</v>
      </c>
      <c r="AK138" s="1" t="s">
        <v>79</v>
      </c>
      <c r="AM138" s="12" t="n">
        <v>46311</v>
      </c>
      <c r="AN138" s="1" t="s">
        <v>774</v>
      </c>
      <c r="AT138" s="1" t="s">
        <v>66</v>
      </c>
      <c r="AU138" s="1" t="str">
        <f aca="false">IF(OR(AT138=TRUE(),AT138="TRUE"),"This sample listing is provided solely to demonstrate the directory interface. It does not represent a live declaration, verification, endorsement or participating establishment.","")</f>
        <v/>
      </c>
      <c r="AV138" s="1" t="str">
        <f aca="false">IF(OR(A138="",B138="",C138="",D138=""),"Missing required fields",IF(NOT(AND(ISNUMBER(M138),ISNUMBER(N138))),"Missing coordinates","Complete"))</f>
        <v>Complete</v>
      </c>
      <c r="AW138" s="1" t="str">
        <f aca="false">IF(AND(ISNUMBER(M138),ISNUMBER(N138)),"Ready","Coordinates required")</f>
        <v>Ready</v>
      </c>
      <c r="AX138" s="1" t="str">
        <f aca="false">IF(OR(AT138=TRUE(),AT138="TRUE"),"Demo record",IF(A138="","Missing ID",IF(B138="","Missing name",IF(NOT(AND(ISNUMBER(M138),ISNUMBER(N138))),"Coordinates required","Ready for publication"))))</f>
        <v>Ready for publication</v>
      </c>
    </row>
    <row r="139" customFormat="false" ht="14.25" hidden="false" customHeight="true" outlineLevel="0" collapsed="false">
      <c r="A139" s="1" t="s">
        <v>776</v>
      </c>
      <c r="B139" s="1" t="s">
        <v>777</v>
      </c>
      <c r="C139" s="11" t="s">
        <v>52</v>
      </c>
      <c r="D139" s="1" t="s">
        <v>778</v>
      </c>
      <c r="E139" s="1" t="s">
        <v>779</v>
      </c>
      <c r="F139" s="1" t="str">
        <f aca="false">IF(C139="Singapore",IF(LEN(TEXT(E139,"000000"))=6,LEFT(TEXT(E139,"000000"),2),""),"")</f>
        <v>19</v>
      </c>
      <c r="H139" s="1" t="s">
        <v>222</v>
      </c>
      <c r="I139" s="1" t="s">
        <v>223</v>
      </c>
      <c r="J139" s="1" t="s">
        <v>224</v>
      </c>
      <c r="K139" s="11"/>
      <c r="L139" s="11" t="s">
        <v>247</v>
      </c>
      <c r="M139" s="1" t="n">
        <v>1.303399</v>
      </c>
      <c r="N139" s="1" t="n">
        <v>103.859334</v>
      </c>
      <c r="O139" s="11" t="s">
        <v>60</v>
      </c>
      <c r="P139" s="1" t="s">
        <v>73</v>
      </c>
      <c r="R139" s="1" t="s">
        <v>62</v>
      </c>
      <c r="AH139" s="1" t="s">
        <v>63</v>
      </c>
      <c r="AI139" s="1" t="s">
        <v>63</v>
      </c>
      <c r="AK139" s="1" t="s">
        <v>780</v>
      </c>
      <c r="AM139" s="12" t="n">
        <v>46311</v>
      </c>
      <c r="AN139" s="1" t="s">
        <v>781</v>
      </c>
      <c r="AT139" s="1" t="s">
        <v>66</v>
      </c>
      <c r="AU139" s="1" t="str">
        <f aca="false">IF(OR(AT139=TRUE(),AT139="TRUE"),"This sample listing is provided solely to demonstrate the directory interface. It does not represent a live declaration, verification, endorsement or participating establishment.","")</f>
        <v/>
      </c>
      <c r="AV139" s="1" t="str">
        <f aca="false">IF(OR(A139="",B139="",C139="",D139=""),"Missing required fields",IF(NOT(AND(ISNUMBER(M139),ISNUMBER(N139))),"Missing coordinates","Complete"))</f>
        <v>Complete</v>
      </c>
      <c r="AW139" s="1" t="str">
        <f aca="false">IF(AND(ISNUMBER(M139),ISNUMBER(N139)),"Ready","Coordinates required")</f>
        <v>Ready</v>
      </c>
      <c r="AX139" s="1" t="str">
        <f aca="false">IF(OR(AT139=TRUE(),AT139="TRUE"),"Demo record",IF(A139="","Missing ID",IF(B139="","Missing name",IF(NOT(AND(ISNUMBER(M139),ISNUMBER(N139))),"Coordinates required","Ready for publication"))))</f>
        <v>Ready for publication</v>
      </c>
    </row>
    <row r="140" customFormat="false" ht="14.25" hidden="false" customHeight="true" outlineLevel="0" collapsed="false">
      <c r="A140" s="1" t="s">
        <v>782</v>
      </c>
      <c r="B140" s="1" t="s">
        <v>783</v>
      </c>
      <c r="C140" s="11" t="s">
        <v>52</v>
      </c>
      <c r="D140" s="1" t="s">
        <v>784</v>
      </c>
      <c r="E140" s="1" t="s">
        <v>785</v>
      </c>
      <c r="F140" s="1" t="str">
        <f aca="false">IF(C140="Singapore",IF(LEN(TEXT(E140,"000000"))=6,LEFT(TEXT(E140,"000000"),2),""),"")</f>
        <v>19</v>
      </c>
      <c r="H140" s="1" t="s">
        <v>222</v>
      </c>
      <c r="I140" s="1" t="s">
        <v>223</v>
      </c>
      <c r="J140" s="1" t="s">
        <v>224</v>
      </c>
      <c r="K140" s="11" t="s">
        <v>786</v>
      </c>
      <c r="L140" s="11" t="s">
        <v>59</v>
      </c>
      <c r="M140" s="1" t="n">
        <v>1.302915</v>
      </c>
      <c r="N140" s="1" t="n">
        <v>103.859088</v>
      </c>
      <c r="O140" s="11" t="s">
        <v>60</v>
      </c>
      <c r="P140" s="1" t="s">
        <v>73</v>
      </c>
      <c r="R140" s="1" t="s">
        <v>62</v>
      </c>
      <c r="AH140" s="1" t="s">
        <v>63</v>
      </c>
      <c r="AI140" s="1" t="s">
        <v>63</v>
      </c>
      <c r="AK140" s="1" t="s">
        <v>787</v>
      </c>
      <c r="AM140" s="12" t="n">
        <v>46311</v>
      </c>
      <c r="AT140" s="1" t="s">
        <v>66</v>
      </c>
      <c r="AU140" s="1" t="str">
        <f aca="false">IF(OR(AT140=TRUE(),AT140="TRUE"),"This sample listing is provided solely to demonstrate the directory interface. It does not represent a live declaration, verification, endorsement or participating establishment.","")</f>
        <v/>
      </c>
      <c r="AV140" s="1" t="str">
        <f aca="false">IF(OR(A140="",B140="",C140="",D140=""),"Missing required fields",IF(NOT(AND(ISNUMBER(M140),ISNUMBER(N140))),"Missing coordinates","Complete"))</f>
        <v>Complete</v>
      </c>
      <c r="AW140" s="1" t="str">
        <f aca="false">IF(AND(ISNUMBER(M140),ISNUMBER(N140)),"Ready","Coordinates required")</f>
        <v>Ready</v>
      </c>
      <c r="AX140" s="1" t="str">
        <f aca="false">IF(OR(AT140=TRUE(),AT140="TRUE"),"Demo record",IF(A140="","Missing ID",IF(B140="","Missing name",IF(NOT(AND(ISNUMBER(M140),ISNUMBER(N140))),"Coordinates required","Ready for publication"))))</f>
        <v>Ready for publication</v>
      </c>
    </row>
    <row r="141" customFormat="false" ht="14.25" hidden="false" customHeight="true" outlineLevel="0" collapsed="false">
      <c r="A141" s="1" t="s">
        <v>788</v>
      </c>
      <c r="B141" s="1" t="s">
        <v>789</v>
      </c>
      <c r="C141" s="11" t="s">
        <v>52</v>
      </c>
      <c r="D141" s="1" t="s">
        <v>77</v>
      </c>
      <c r="E141" s="1" t="s">
        <v>790</v>
      </c>
      <c r="F141" s="1" t="str">
        <f aca="false">IF(C141="Singapore",IF(LEN(TEXT(E141,"000000"))=6,LEFT(TEXT(E141,"000000"),2),""),"")</f>
        <v>51</v>
      </c>
      <c r="H141" s="1" t="s">
        <v>70</v>
      </c>
      <c r="I141" s="1" t="s">
        <v>71</v>
      </c>
      <c r="J141" s="1" t="s">
        <v>72</v>
      </c>
      <c r="K141" s="11" t="s">
        <v>791</v>
      </c>
      <c r="L141" s="11" t="s">
        <v>59</v>
      </c>
      <c r="M141" s="1" t="n">
        <v>1.373301</v>
      </c>
      <c r="N141" s="1" t="n">
        <v>103.948719</v>
      </c>
      <c r="O141" s="11" t="s">
        <v>60</v>
      </c>
      <c r="P141" s="1" t="s">
        <v>73</v>
      </c>
      <c r="R141" s="1" t="s">
        <v>62</v>
      </c>
      <c r="AH141" s="1" t="s">
        <v>63</v>
      </c>
      <c r="AI141" s="1" t="s">
        <v>63</v>
      </c>
      <c r="AK141" s="1" t="s">
        <v>79</v>
      </c>
      <c r="AM141" s="12" t="n">
        <v>46311</v>
      </c>
      <c r="AN141" s="1" t="s">
        <v>792</v>
      </c>
      <c r="AT141" s="1" t="s">
        <v>66</v>
      </c>
      <c r="AU141" s="1" t="str">
        <f aca="false">IF(OR(AT141=TRUE(),AT141="TRUE"),"This sample listing is provided solely to demonstrate the directory interface. It does not represent a live declaration, verification, endorsement or participating establishment.","")</f>
        <v/>
      </c>
      <c r="AV141" s="1" t="str">
        <f aca="false">IF(OR(A141="",B141="",C141="",D141=""),"Missing required fields",IF(NOT(AND(ISNUMBER(M141),ISNUMBER(N141))),"Missing coordinates","Complete"))</f>
        <v>Complete</v>
      </c>
      <c r="AW141" s="1" t="str">
        <f aca="false">IF(AND(ISNUMBER(M141),ISNUMBER(N141)),"Ready","Coordinates required")</f>
        <v>Ready</v>
      </c>
      <c r="AX141" s="1" t="str">
        <f aca="false">IF(OR(AT141=TRUE(),AT141="TRUE"),"Demo record",IF(A141="","Missing ID",IF(B141="","Missing name",IF(NOT(AND(ISNUMBER(M141),ISNUMBER(N141))),"Coordinates required","Ready for publication"))))</f>
        <v>Ready for publication</v>
      </c>
    </row>
    <row r="142" customFormat="false" ht="14.25" hidden="false" customHeight="true" outlineLevel="0" collapsed="false">
      <c r="A142" s="1" t="s">
        <v>793</v>
      </c>
      <c r="B142" s="1" t="s">
        <v>794</v>
      </c>
      <c r="C142" s="11" t="s">
        <v>52</v>
      </c>
      <c r="D142" s="1" t="s">
        <v>795</v>
      </c>
      <c r="E142" s="1" t="s">
        <v>796</v>
      </c>
      <c r="F142" s="1" t="str">
        <f aca="false">IF(C142="Singapore",IF(LEN(TEXT(E142,"000000"))=6,LEFT(TEXT(E142,"000000"),2),""),"")</f>
        <v>19</v>
      </c>
      <c r="H142" s="1" t="s">
        <v>222</v>
      </c>
      <c r="I142" s="1" t="s">
        <v>223</v>
      </c>
      <c r="J142" s="1" t="s">
        <v>224</v>
      </c>
      <c r="K142" s="11"/>
      <c r="L142" s="11" t="s">
        <v>197</v>
      </c>
      <c r="M142" s="1" t="n">
        <v>1.302688</v>
      </c>
      <c r="N142" s="1" t="n">
        <v>103.857915</v>
      </c>
      <c r="O142" s="11" t="s">
        <v>60</v>
      </c>
      <c r="P142" s="1" t="s">
        <v>73</v>
      </c>
      <c r="R142" s="1" t="s">
        <v>62</v>
      </c>
      <c r="AH142" s="1" t="s">
        <v>63</v>
      </c>
      <c r="AI142" s="1" t="s">
        <v>63</v>
      </c>
      <c r="AK142" s="1" t="s">
        <v>797</v>
      </c>
      <c r="AM142" s="12" t="s">
        <v>65</v>
      </c>
      <c r="AT142" s="1" t="s">
        <v>66</v>
      </c>
      <c r="AU142" s="1" t="str">
        <f aca="false">IF(OR(AT142=TRUE(),AT142="TRUE"),"This sample listing is provided solely to demonstrate the directory interface. It does not represent a live declaration, verification, endorsement or participating establishment.","")</f>
        <v/>
      </c>
      <c r="AV142" s="1" t="str">
        <f aca="false">IF(OR(A142="",B142="",C142="",D142=""),"Missing required fields",IF(NOT(AND(ISNUMBER(M142),ISNUMBER(N142))),"Missing coordinates","Complete"))</f>
        <v>Complete</v>
      </c>
      <c r="AW142" s="1" t="str">
        <f aca="false">IF(AND(ISNUMBER(M142),ISNUMBER(N142)),"Ready","Coordinates required")</f>
        <v>Ready</v>
      </c>
      <c r="AX142" s="1" t="str">
        <f aca="false">IF(OR(AT142=TRUE(),AT142="TRUE"),"Demo record",IF(A142="","Missing ID",IF(B142="","Missing name",IF(NOT(AND(ISNUMBER(M142),ISNUMBER(N142))),"Coordinates required","Ready for publication"))))</f>
        <v>Ready for publication</v>
      </c>
    </row>
    <row r="143" customFormat="false" ht="14.25" hidden="false" customHeight="true" outlineLevel="0" collapsed="false">
      <c r="A143" s="1" t="s">
        <v>798</v>
      </c>
      <c r="B143" s="1" t="s">
        <v>799</v>
      </c>
      <c r="C143" s="11" t="s">
        <v>52</v>
      </c>
      <c r="D143" s="1" t="s">
        <v>68</v>
      </c>
      <c r="E143" s="1" t="s">
        <v>69</v>
      </c>
      <c r="F143" s="1" t="str">
        <f aca="false">IF(C143="Singapore",IF(LEN(TEXT(E143,"000000"))=6,LEFT(TEXT(E143,"000000"),2),""),"")</f>
        <v>51</v>
      </c>
      <c r="H143" s="1" t="s">
        <v>70</v>
      </c>
      <c r="I143" s="1" t="s">
        <v>71</v>
      </c>
      <c r="J143" s="1" t="s">
        <v>72</v>
      </c>
      <c r="K143" s="11" t="s">
        <v>391</v>
      </c>
      <c r="L143" s="11" t="s">
        <v>59</v>
      </c>
      <c r="M143" s="1" t="n">
        <v>1.372661</v>
      </c>
      <c r="N143" s="1" t="n">
        <v>103.94961</v>
      </c>
      <c r="O143" s="11" t="s">
        <v>60</v>
      </c>
      <c r="P143" s="1" t="s">
        <v>73</v>
      </c>
      <c r="R143" s="1" t="s">
        <v>62</v>
      </c>
      <c r="AH143" s="1" t="s">
        <v>63</v>
      </c>
      <c r="AI143" s="1" t="s">
        <v>63</v>
      </c>
      <c r="AK143" s="1" t="s">
        <v>79</v>
      </c>
      <c r="AM143" s="12" t="n">
        <v>46311</v>
      </c>
      <c r="AT143" s="1" t="s">
        <v>66</v>
      </c>
      <c r="AU143" s="1" t="str">
        <f aca="false">IF(OR(AT143=TRUE(),AT143="TRUE"),"This sample listing is provided solely to demonstrate the directory interface. It does not represent a live declaration, verification, endorsement or participating establishment.","")</f>
        <v/>
      </c>
      <c r="AV143" s="1" t="str">
        <f aca="false">IF(OR(A143="",B143="",C143="",D143=""),"Missing required fields",IF(NOT(AND(ISNUMBER(M143),ISNUMBER(N143))),"Missing coordinates","Complete"))</f>
        <v>Complete</v>
      </c>
      <c r="AW143" s="1" t="str">
        <f aca="false">IF(AND(ISNUMBER(M143),ISNUMBER(N143)),"Ready","Coordinates required")</f>
        <v>Ready</v>
      </c>
      <c r="AX143" s="1" t="str">
        <f aca="false">IF(OR(AT143=TRUE(),AT143="TRUE"),"Demo record",IF(A143="","Missing ID",IF(B143="","Missing name",IF(NOT(AND(ISNUMBER(M143),ISNUMBER(N143))),"Coordinates required","Ready for publication"))))</f>
        <v>Ready for publication</v>
      </c>
    </row>
    <row r="144" customFormat="false" ht="14.25" hidden="false" customHeight="true" outlineLevel="0" collapsed="false">
      <c r="A144" s="1" t="s">
        <v>800</v>
      </c>
      <c r="B144" s="1" t="s">
        <v>801</v>
      </c>
      <c r="C144" s="11" t="s">
        <v>52</v>
      </c>
      <c r="E144" s="1" t="s">
        <v>802</v>
      </c>
      <c r="F144" s="1" t="str">
        <f aca="false">IF(C144="Singapore",IF(LEN(TEXT(E144,"000000"))=6,LEFT(TEXT(E144,"000000"),2),""),"")</f>
        <v>18</v>
      </c>
      <c r="H144" s="1" t="s">
        <v>222</v>
      </c>
      <c r="I144" s="1" t="s">
        <v>223</v>
      </c>
      <c r="J144" s="1" t="s">
        <v>224</v>
      </c>
      <c r="K144" s="11" t="s">
        <v>803</v>
      </c>
      <c r="L144" s="11" t="s">
        <v>59</v>
      </c>
      <c r="M144" s="1" t="n">
        <v>1.301244</v>
      </c>
      <c r="N144" s="1" t="n">
        <v>103.85843</v>
      </c>
      <c r="O144" s="11" t="s">
        <v>60</v>
      </c>
      <c r="P144" s="1" t="s">
        <v>73</v>
      </c>
      <c r="R144" s="1" t="s">
        <v>62</v>
      </c>
      <c r="AH144" s="1" t="s">
        <v>63</v>
      </c>
      <c r="AI144" s="1" t="s">
        <v>63</v>
      </c>
      <c r="AK144" s="1" t="s">
        <v>804</v>
      </c>
      <c r="AM144" s="12" t="n">
        <v>46311</v>
      </c>
      <c r="AN144" s="1" t="s">
        <v>805</v>
      </c>
      <c r="AT144" s="1" t="s">
        <v>66</v>
      </c>
      <c r="AU144" s="1" t="str">
        <f aca="false">IF(OR(AT144=TRUE(),AT144="TRUE"),"This sample listing is provided solely to demonstrate the directory interface. It does not represent a live declaration, verification, endorsement or participating establishment.","")</f>
        <v/>
      </c>
      <c r="AV144" s="1" t="str">
        <f aca="false">IF(OR(A144="",B144="",C144="",D144=""),"Missing required fields",IF(NOT(AND(ISNUMBER(M144),ISNUMBER(N144))),"Missing coordinates","Complete"))</f>
        <v>Missing required fields</v>
      </c>
      <c r="AW144" s="1" t="str">
        <f aca="false">IF(AND(ISNUMBER(M144),ISNUMBER(N144)),"Ready","Coordinates required")</f>
        <v>Ready</v>
      </c>
      <c r="AX144" s="1" t="str">
        <f aca="false">IF(OR(AT144=TRUE(),AT144="TRUE"),"Demo record",IF(A144="","Missing ID",IF(B144="","Missing name",IF(NOT(AND(ISNUMBER(M144),ISNUMBER(N144))),"Coordinates required","Ready for publication"))))</f>
        <v>Ready for publication</v>
      </c>
    </row>
    <row r="145" customFormat="false" ht="14.25" hidden="false" customHeight="true" outlineLevel="0" collapsed="false">
      <c r="A145" s="1" t="s">
        <v>806</v>
      </c>
      <c r="B145" s="1" t="s">
        <v>807</v>
      </c>
      <c r="C145" s="11" t="s">
        <v>52</v>
      </c>
      <c r="D145" s="1" t="s">
        <v>808</v>
      </c>
      <c r="E145" s="1" t="s">
        <v>809</v>
      </c>
      <c r="F145" s="1" t="str">
        <f aca="false">IF(C145="Singapore",IF(LEN(TEXT(E145,"000000"))=6,LEFT(TEXT(E145,"000000"),2),""),"")</f>
        <v>34</v>
      </c>
      <c r="H145" s="1" t="s">
        <v>321</v>
      </c>
      <c r="I145" s="1" t="s">
        <v>187</v>
      </c>
      <c r="J145" s="1" t="s">
        <v>188</v>
      </c>
      <c r="K145" s="11" t="s">
        <v>391</v>
      </c>
      <c r="L145" s="11" t="s">
        <v>59</v>
      </c>
      <c r="M145" s="1" t="n">
        <v>1.329743</v>
      </c>
      <c r="N145" s="1" t="n">
        <v>103.873789</v>
      </c>
      <c r="O145" s="11" t="s">
        <v>60</v>
      </c>
      <c r="P145" s="1" t="s">
        <v>73</v>
      </c>
      <c r="R145" s="1" t="s">
        <v>62</v>
      </c>
      <c r="AH145" s="1" t="s">
        <v>63</v>
      </c>
      <c r="AI145" s="1" t="s">
        <v>63</v>
      </c>
      <c r="AK145" s="1" t="s">
        <v>74</v>
      </c>
      <c r="AM145" s="12" t="n">
        <v>46311</v>
      </c>
      <c r="AN145" s="1" t="s">
        <v>810</v>
      </c>
      <c r="AT145" s="1" t="s">
        <v>66</v>
      </c>
      <c r="AU145" s="1" t="str">
        <f aca="false">IF(OR(AT145=TRUE(),AT145="TRUE"),"This sample listing is provided solely to demonstrate the directory interface. It does not represent a live declaration, verification, endorsement or participating establishment.","")</f>
        <v/>
      </c>
      <c r="AV145" s="1" t="str">
        <f aca="false">IF(OR(A145="",B145="",C145="",D145=""),"Missing required fields",IF(NOT(AND(ISNUMBER(M145),ISNUMBER(N145))),"Missing coordinates","Complete"))</f>
        <v>Complete</v>
      </c>
      <c r="AW145" s="1" t="str">
        <f aca="false">IF(AND(ISNUMBER(M145),ISNUMBER(N145)),"Ready","Coordinates required")</f>
        <v>Ready</v>
      </c>
      <c r="AX145" s="1" t="str">
        <f aca="false">IF(OR(AT145=TRUE(),AT145="TRUE"),"Demo record",IF(A145="","Missing ID",IF(B145="","Missing name",IF(NOT(AND(ISNUMBER(M145),ISNUMBER(N145))),"Coordinates required","Ready for publication"))))</f>
        <v>Ready for publication</v>
      </c>
    </row>
    <row r="146" customFormat="false" ht="14.25" hidden="false" customHeight="true" outlineLevel="0" collapsed="false">
      <c r="A146" s="1" t="s">
        <v>811</v>
      </c>
      <c r="B146" s="1" t="s">
        <v>812</v>
      </c>
      <c r="C146" s="11" t="s">
        <v>52</v>
      </c>
      <c r="D146" s="1" t="s">
        <v>813</v>
      </c>
      <c r="E146" s="1" t="s">
        <v>662</v>
      </c>
      <c r="F146" s="1" t="str">
        <f aca="false">IF(C146="Singapore",IF(LEN(TEXT(E146,"000000"))=6,LEFT(TEXT(E146,"000000"),2),""),"")</f>
        <v>65</v>
      </c>
      <c r="H146" s="1" t="s">
        <v>140</v>
      </c>
      <c r="I146" s="1" t="s">
        <v>88</v>
      </c>
      <c r="J146" s="1" t="s">
        <v>89</v>
      </c>
      <c r="K146" s="11" t="s">
        <v>814</v>
      </c>
      <c r="L146" s="11" t="s">
        <v>59</v>
      </c>
      <c r="M146" s="1" t="n">
        <v>1.359153</v>
      </c>
      <c r="N146" s="1" t="n">
        <v>103.751794</v>
      </c>
      <c r="O146" s="11" t="s">
        <v>60</v>
      </c>
      <c r="P146" s="1" t="s">
        <v>73</v>
      </c>
      <c r="R146" s="1" t="s">
        <v>62</v>
      </c>
      <c r="AH146" s="1" t="s">
        <v>63</v>
      </c>
      <c r="AI146" s="1" t="s">
        <v>63</v>
      </c>
      <c r="AK146" s="1" t="s">
        <v>663</v>
      </c>
      <c r="AM146" s="12" t="n">
        <v>46311</v>
      </c>
      <c r="AN146" s="1" t="s">
        <v>815</v>
      </c>
      <c r="AT146" s="1" t="s">
        <v>66</v>
      </c>
      <c r="AU146" s="1" t="str">
        <f aca="false">IF(OR(AT146=TRUE(),AT146="TRUE"),"This sample listing is provided solely to demonstrate the directory interface. It does not represent a live declaration, verification, endorsement or participating establishment.","")</f>
        <v/>
      </c>
      <c r="AV146" s="1" t="str">
        <f aca="false">IF(OR(A146="",B146="",C146="",D146=""),"Missing required fields",IF(NOT(AND(ISNUMBER(M146),ISNUMBER(N146))),"Missing coordinates","Complete"))</f>
        <v>Complete</v>
      </c>
      <c r="AW146" s="1" t="str">
        <f aca="false">IF(AND(ISNUMBER(M146),ISNUMBER(N146)),"Ready","Coordinates required")</f>
        <v>Ready</v>
      </c>
      <c r="AX146" s="1" t="str">
        <f aca="false">IF(OR(AT146=TRUE(),AT146="TRUE"),"Demo record",IF(A146="","Missing ID",IF(B146="","Missing name",IF(NOT(AND(ISNUMBER(M146),ISNUMBER(N146))),"Coordinates required","Ready for publication"))))</f>
        <v>Ready for publication</v>
      </c>
    </row>
    <row r="147" customFormat="false" ht="14.25" hidden="false" customHeight="true" outlineLevel="0" collapsed="false">
      <c r="A147" s="1" t="s">
        <v>816</v>
      </c>
      <c r="B147" s="1" t="s">
        <v>817</v>
      </c>
      <c r="C147" s="11" t="s">
        <v>52</v>
      </c>
      <c r="D147" s="1" t="s">
        <v>818</v>
      </c>
      <c r="E147" s="1" t="s">
        <v>819</v>
      </c>
      <c r="F147" s="1" t="str">
        <f aca="false">IF(C147="Singapore",IF(LEN(TEXT(E147,"000000"))=6,LEFT(TEXT(E147,"000000"),2),""),"")</f>
        <v>18</v>
      </c>
      <c r="H147" s="1" t="s">
        <v>222</v>
      </c>
      <c r="I147" s="1" t="s">
        <v>223</v>
      </c>
      <c r="J147" s="1" t="s">
        <v>224</v>
      </c>
      <c r="K147" s="11" t="s">
        <v>241</v>
      </c>
      <c r="L147" s="11" t="s">
        <v>59</v>
      </c>
      <c r="M147" s="1" t="n">
        <v>1.30129</v>
      </c>
      <c r="N147" s="1" t="n">
        <v>103.853862</v>
      </c>
      <c r="O147" s="11" t="s">
        <v>60</v>
      </c>
      <c r="P147" s="1" t="s">
        <v>73</v>
      </c>
      <c r="R147" s="1" t="s">
        <v>62</v>
      </c>
      <c r="AH147" s="1" t="s">
        <v>63</v>
      </c>
      <c r="AI147" s="1" t="s">
        <v>63</v>
      </c>
      <c r="AK147" s="1" t="s">
        <v>359</v>
      </c>
      <c r="AM147" s="12" t="s">
        <v>65</v>
      </c>
      <c r="AT147" s="1" t="s">
        <v>66</v>
      </c>
      <c r="AU147" s="1" t="str">
        <f aca="false">IF(OR(AT147=TRUE(),AT147="TRUE"),"This sample listing is provided solely to demonstrate the directory interface. It does not represent a live declaration, verification, endorsement or participating establishment.","")</f>
        <v/>
      </c>
      <c r="AV147" s="1" t="str">
        <f aca="false">IF(OR(A147="",B147="",C147="",D147=""),"Missing required fields",IF(NOT(AND(ISNUMBER(M147),ISNUMBER(N147))),"Missing coordinates","Complete"))</f>
        <v>Complete</v>
      </c>
      <c r="AW147" s="1" t="str">
        <f aca="false">IF(AND(ISNUMBER(M147),ISNUMBER(N147)),"Ready","Coordinates required")</f>
        <v>Ready</v>
      </c>
      <c r="AX147" s="1" t="str">
        <f aca="false">IF(OR(AT147=TRUE(),AT147="TRUE"),"Demo record",IF(A147="","Missing ID",IF(B147="","Missing name",IF(NOT(AND(ISNUMBER(M147),ISNUMBER(N147))),"Coordinates required","Ready for publication"))))</f>
        <v>Ready for publication</v>
      </c>
    </row>
    <row r="148" customFormat="false" ht="14.25" hidden="false" customHeight="true" outlineLevel="0" collapsed="false">
      <c r="A148" s="1" t="s">
        <v>820</v>
      </c>
      <c r="B148" s="1" t="s">
        <v>821</v>
      </c>
      <c r="C148" s="11" t="s">
        <v>52</v>
      </c>
      <c r="D148" s="1" t="s">
        <v>822</v>
      </c>
      <c r="E148" s="1" t="s">
        <v>823</v>
      </c>
      <c r="F148" s="1" t="str">
        <f aca="false">IF(C148="Singapore",IF(LEN(TEXT(E148,"000000"))=6,LEFT(TEXT(E148,"000000"),2),""),"")</f>
        <v>20</v>
      </c>
      <c r="H148" s="1" t="s">
        <v>338</v>
      </c>
      <c r="I148" s="1" t="s">
        <v>339</v>
      </c>
      <c r="J148" s="1" t="s">
        <v>340</v>
      </c>
      <c r="K148" s="11" t="s">
        <v>90</v>
      </c>
      <c r="L148" s="11" t="s">
        <v>59</v>
      </c>
      <c r="M148" s="1" t="n">
        <v>1.312885</v>
      </c>
      <c r="N148" s="1" t="n">
        <v>103.859625</v>
      </c>
      <c r="O148" s="11" t="s">
        <v>60</v>
      </c>
      <c r="P148" s="1" t="s">
        <v>73</v>
      </c>
      <c r="R148" s="1" t="s">
        <v>62</v>
      </c>
      <c r="AH148" s="1" t="s">
        <v>63</v>
      </c>
      <c r="AI148" s="1" t="s">
        <v>63</v>
      </c>
      <c r="AK148" s="1" t="s">
        <v>824</v>
      </c>
      <c r="AM148" s="12" t="n">
        <v>46311</v>
      </c>
      <c r="AN148" s="1" t="s">
        <v>825</v>
      </c>
      <c r="AT148" s="1" t="s">
        <v>66</v>
      </c>
      <c r="AU148" s="1" t="str">
        <f aca="false">IF(OR(AT148=TRUE(),AT148="TRUE"),"This sample listing is provided solely to demonstrate the directory interface. It does not represent a live declaration, verification, endorsement or participating establishment.","")</f>
        <v/>
      </c>
      <c r="AV148" s="1" t="str">
        <f aca="false">IF(OR(A148="",B148="",C148="",D148=""),"Missing required fields",IF(NOT(AND(ISNUMBER(M148),ISNUMBER(N148))),"Missing coordinates","Complete"))</f>
        <v>Complete</v>
      </c>
      <c r="AW148" s="1" t="str">
        <f aca="false">IF(AND(ISNUMBER(M148),ISNUMBER(N148)),"Ready","Coordinates required")</f>
        <v>Ready</v>
      </c>
      <c r="AX148" s="1" t="str">
        <f aca="false">IF(OR(AT148=TRUE(),AT148="TRUE"),"Demo record",IF(A148="","Missing ID",IF(B148="","Missing name",IF(NOT(AND(ISNUMBER(M148),ISNUMBER(N148))),"Coordinates required","Ready for publication"))))</f>
        <v>Ready for publication</v>
      </c>
    </row>
    <row r="149" customFormat="false" ht="14.25" hidden="false" customHeight="true" outlineLevel="0" collapsed="false">
      <c r="A149" s="1" t="s">
        <v>826</v>
      </c>
      <c r="B149" s="1" t="s">
        <v>827</v>
      </c>
      <c r="C149" s="11" t="s">
        <v>52</v>
      </c>
      <c r="D149" s="1" t="s">
        <v>828</v>
      </c>
      <c r="E149" s="1" t="s">
        <v>829</v>
      </c>
      <c r="F149" s="1" t="str">
        <f aca="false">IF(C149="Singapore",IF(LEN(TEXT(E149,"000000"))=6,LEFT(TEXT(E149,"000000"),2),""),"")</f>
        <v>79</v>
      </c>
      <c r="H149" s="1" t="s">
        <v>830</v>
      </c>
      <c r="I149" s="1" t="s">
        <v>831</v>
      </c>
      <c r="J149" s="1" t="s">
        <v>832</v>
      </c>
      <c r="K149" s="11" t="s">
        <v>58</v>
      </c>
      <c r="L149" s="11" t="s">
        <v>59</v>
      </c>
      <c r="M149" s="1" t="n">
        <v>1.392222</v>
      </c>
      <c r="N149" s="1" t="n">
        <v>103.875985</v>
      </c>
      <c r="O149" s="11" t="s">
        <v>60</v>
      </c>
      <c r="P149" s="1" t="s">
        <v>61</v>
      </c>
      <c r="R149" s="1" t="s">
        <v>62</v>
      </c>
      <c r="AH149" s="1" t="s">
        <v>63</v>
      </c>
      <c r="AI149" s="1" t="s">
        <v>63</v>
      </c>
      <c r="AK149" s="1" t="s">
        <v>833</v>
      </c>
      <c r="AM149" s="12" t="n">
        <v>46311</v>
      </c>
      <c r="AN149" s="1" t="s">
        <v>834</v>
      </c>
      <c r="AT149" s="1" t="s">
        <v>66</v>
      </c>
      <c r="AU149" s="1" t="str">
        <f aca="false">IF(OR(AT149=TRUE(),AT149="TRUE"),"This sample listing is provided solely to demonstrate the directory interface. It does not represent a live declaration, verification, endorsement or participating establishment.","")</f>
        <v/>
      </c>
      <c r="AV149" s="1" t="str">
        <f aca="false">IF(OR(A149="",B149="",C149="",D149=""),"Missing required fields",IF(NOT(AND(ISNUMBER(M149),ISNUMBER(N149))),"Missing coordinates","Complete"))</f>
        <v>Complete</v>
      </c>
      <c r="AW149" s="1" t="str">
        <f aca="false">IF(AND(ISNUMBER(M149),ISNUMBER(N149)),"Ready","Coordinates required")</f>
        <v>Ready</v>
      </c>
      <c r="AX149" s="1" t="str">
        <f aca="false">IF(OR(AT149=TRUE(),AT149="TRUE"),"Demo record",IF(A149="","Missing ID",IF(B149="","Missing name",IF(NOT(AND(ISNUMBER(M149),ISNUMBER(N149))),"Coordinates required","Ready for publication"))))</f>
        <v>Ready for publication</v>
      </c>
    </row>
    <row r="150" customFormat="false" ht="14.25" hidden="false" customHeight="true" outlineLevel="0" collapsed="false">
      <c r="A150" s="1" t="s">
        <v>835</v>
      </c>
      <c r="B150" s="1" t="s">
        <v>836</v>
      </c>
      <c r="C150" s="11" t="s">
        <v>52</v>
      </c>
      <c r="D150" s="1" t="s">
        <v>68</v>
      </c>
      <c r="E150" s="1" t="s">
        <v>69</v>
      </c>
      <c r="F150" s="1" t="str">
        <f aca="false">IF(C150="Singapore",IF(LEN(TEXT(E150,"000000"))=6,LEFT(TEXT(E150,"000000"),2),""),"")</f>
        <v>51</v>
      </c>
      <c r="H150" s="1" t="s">
        <v>70</v>
      </c>
      <c r="I150" s="1" t="s">
        <v>71</v>
      </c>
      <c r="J150" s="1" t="s">
        <v>72</v>
      </c>
      <c r="K150" s="11" t="s">
        <v>837</v>
      </c>
      <c r="L150" s="11" t="s">
        <v>59</v>
      </c>
      <c r="M150" s="1" t="n">
        <v>1.372532</v>
      </c>
      <c r="N150" s="1" t="n">
        <v>103.949834</v>
      </c>
      <c r="O150" s="11" t="s">
        <v>60</v>
      </c>
      <c r="P150" s="1" t="s">
        <v>73</v>
      </c>
      <c r="R150" s="1" t="s">
        <v>62</v>
      </c>
      <c r="AH150" s="1" t="s">
        <v>63</v>
      </c>
      <c r="AI150" s="1" t="s">
        <v>63</v>
      </c>
      <c r="AK150" s="1" t="s">
        <v>838</v>
      </c>
      <c r="AM150" s="12" t="n">
        <v>46311</v>
      </c>
      <c r="AN150" s="1" t="s">
        <v>839</v>
      </c>
      <c r="AT150" s="1" t="s">
        <v>66</v>
      </c>
      <c r="AU150" s="1" t="str">
        <f aca="false">IF(OR(AT150=TRUE(),AT150="TRUE"),"This sample listing is provided solely to demonstrate the directory interface. It does not represent a live declaration, verification, endorsement or participating establishment.","")</f>
        <v/>
      </c>
      <c r="AV150" s="1" t="str">
        <f aca="false">IF(OR(A150="",B150="",C150="",D150=""),"Missing required fields",IF(NOT(AND(ISNUMBER(M150),ISNUMBER(N150))),"Missing coordinates","Complete"))</f>
        <v>Complete</v>
      </c>
      <c r="AW150" s="1" t="str">
        <f aca="false">IF(AND(ISNUMBER(M150),ISNUMBER(N150)),"Ready","Coordinates required")</f>
        <v>Ready</v>
      </c>
      <c r="AX150" s="1" t="str">
        <f aca="false">IF(OR(AT150=TRUE(),AT150="TRUE"),"Demo record",IF(A150="","Missing ID",IF(B150="","Missing name",IF(NOT(AND(ISNUMBER(M150),ISNUMBER(N150))),"Coordinates required","Ready for publication"))))</f>
        <v>Ready for publication</v>
      </c>
    </row>
    <row r="151" customFormat="false" ht="14.25" hidden="false" customHeight="true" outlineLevel="0" collapsed="false">
      <c r="A151" s="1" t="s">
        <v>840</v>
      </c>
      <c r="B151" s="1" t="s">
        <v>841</v>
      </c>
      <c r="C151" s="11" t="s">
        <v>52</v>
      </c>
      <c r="D151" s="1" t="s">
        <v>842</v>
      </c>
      <c r="F151" s="1" t="str">
        <f aca="false">IF(C151="Singapore",IF(LEN(TEXT(E151,"000000"))=6,LEFT(TEXT(E151,"000000"),2),""),"")</f>
        <v>00</v>
      </c>
      <c r="K151" s="11"/>
      <c r="L151" s="11" t="s">
        <v>247</v>
      </c>
      <c r="M151" s="1" t="n">
        <v>1.429343</v>
      </c>
      <c r="N151" s="1" t="n">
        <v>103.836451</v>
      </c>
      <c r="O151" s="11" t="s">
        <v>60</v>
      </c>
      <c r="P151" s="1" t="s">
        <v>61</v>
      </c>
      <c r="R151" s="1" t="s">
        <v>62</v>
      </c>
      <c r="AH151" s="1" t="s">
        <v>63</v>
      </c>
      <c r="AI151" s="1" t="s">
        <v>63</v>
      </c>
      <c r="AK151" s="1" t="s">
        <v>843</v>
      </c>
      <c r="AM151" s="12" t="n">
        <v>46311</v>
      </c>
      <c r="AT151" s="1" t="s">
        <v>66</v>
      </c>
      <c r="AU151" s="1" t="str">
        <f aca="false">IF(OR(AT151=TRUE(),AT151="TRUE"),"This sample listing is provided solely to demonstrate the directory interface. It does not represent a live declaration, verification, endorsement or participating establishment.","")</f>
        <v/>
      </c>
      <c r="AV151" s="1" t="str">
        <f aca="false">IF(OR(A151="",B151="",C151="",D151=""),"Missing required fields",IF(NOT(AND(ISNUMBER(M151),ISNUMBER(N151))),"Missing coordinates","Complete"))</f>
        <v>Complete</v>
      </c>
      <c r="AW151" s="1" t="str">
        <f aca="false">IF(AND(ISNUMBER(M151),ISNUMBER(N151)),"Ready","Coordinates required")</f>
        <v>Ready</v>
      </c>
      <c r="AX151" s="1" t="str">
        <f aca="false">IF(OR(AT151=TRUE(),AT151="TRUE"),"Demo record",IF(A151="","Missing ID",IF(B151="","Missing name",IF(NOT(AND(ISNUMBER(M151),ISNUMBER(N151))),"Coordinates required","Ready for publication"))))</f>
        <v>Ready for publication</v>
      </c>
    </row>
    <row r="152" customFormat="false" ht="14.25" hidden="false" customHeight="true" outlineLevel="0" collapsed="false">
      <c r="A152" s="1" t="s">
        <v>844</v>
      </c>
      <c r="B152" s="1" t="s">
        <v>845</v>
      </c>
      <c r="C152" s="11" t="s">
        <v>52</v>
      </c>
      <c r="D152" s="1" t="s">
        <v>68</v>
      </c>
      <c r="E152" s="1" t="s">
        <v>69</v>
      </c>
      <c r="F152" s="1" t="str">
        <f aca="false">IF(C152="Singapore",IF(LEN(TEXT(E152,"000000"))=6,LEFT(TEXT(E152,"000000"),2),""),"")</f>
        <v>51</v>
      </c>
      <c r="H152" s="1" t="s">
        <v>70</v>
      </c>
      <c r="I152" s="1" t="s">
        <v>71</v>
      </c>
      <c r="J152" s="1" t="s">
        <v>72</v>
      </c>
      <c r="K152" s="11" t="s">
        <v>129</v>
      </c>
      <c r="L152" s="11" t="s">
        <v>59</v>
      </c>
      <c r="M152" s="1" t="n">
        <v>1.372256</v>
      </c>
      <c r="N152" s="1" t="n">
        <v>103.949893</v>
      </c>
      <c r="O152" s="11" t="s">
        <v>60</v>
      </c>
      <c r="P152" s="1" t="s">
        <v>73</v>
      </c>
      <c r="R152" s="1" t="s">
        <v>62</v>
      </c>
      <c r="AH152" s="1" t="s">
        <v>63</v>
      </c>
      <c r="AI152" s="1" t="s">
        <v>63</v>
      </c>
      <c r="AK152" s="1" t="s">
        <v>846</v>
      </c>
      <c r="AM152" s="12" t="n">
        <v>46311</v>
      </c>
      <c r="AN152" s="1" t="s">
        <v>847</v>
      </c>
      <c r="AT152" s="1" t="s">
        <v>66</v>
      </c>
      <c r="AU152" s="1" t="str">
        <f aca="false">IF(OR(AT152=TRUE(),AT152="TRUE"),"This sample listing is provided solely to demonstrate the directory interface. It does not represent a live declaration, verification, endorsement or participating establishment.","")</f>
        <v/>
      </c>
      <c r="AV152" s="1" t="str">
        <f aca="false">IF(OR(A152="",B152="",C152="",D152=""),"Missing required fields",IF(NOT(AND(ISNUMBER(M152),ISNUMBER(N152))),"Missing coordinates","Complete"))</f>
        <v>Complete</v>
      </c>
      <c r="AW152" s="1" t="str">
        <f aca="false">IF(AND(ISNUMBER(M152),ISNUMBER(N152)),"Ready","Coordinates required")</f>
        <v>Ready</v>
      </c>
      <c r="AX152" s="1" t="str">
        <f aca="false">IF(OR(AT152=TRUE(),AT152="TRUE"),"Demo record",IF(A152="","Missing ID",IF(B152="","Missing name",IF(NOT(AND(ISNUMBER(M152),ISNUMBER(N152))),"Coordinates required","Ready for publication"))))</f>
        <v>Ready for publication</v>
      </c>
    </row>
    <row r="153" customFormat="false" ht="14.25" hidden="false" customHeight="true" outlineLevel="0" collapsed="false">
      <c r="A153" s="1" t="s">
        <v>848</v>
      </c>
      <c r="B153" s="1" t="s">
        <v>849</v>
      </c>
      <c r="C153" s="11" t="s">
        <v>52</v>
      </c>
      <c r="D153" s="1" t="s">
        <v>850</v>
      </c>
      <c r="E153" s="1" t="s">
        <v>851</v>
      </c>
      <c r="F153" s="1" t="str">
        <f aca="false">IF(C153="Singapore",IF(LEN(TEXT(E153,"000000"))=6,LEFT(TEXT(E153,"000000"),2),""),"")</f>
        <v>51</v>
      </c>
      <c r="H153" s="1" t="s">
        <v>70</v>
      </c>
      <c r="I153" s="1" t="s">
        <v>71</v>
      </c>
      <c r="J153" s="1" t="s">
        <v>72</v>
      </c>
      <c r="K153" s="11" t="s">
        <v>852</v>
      </c>
      <c r="L153" s="11" t="s">
        <v>59</v>
      </c>
      <c r="M153" s="1" t="n">
        <v>1.382094</v>
      </c>
      <c r="N153" s="1" t="n">
        <v>103.947898</v>
      </c>
      <c r="O153" s="11" t="s">
        <v>60</v>
      </c>
      <c r="P153" s="1" t="s">
        <v>73</v>
      </c>
      <c r="R153" s="1" t="s">
        <v>62</v>
      </c>
      <c r="AH153" s="1" t="s">
        <v>63</v>
      </c>
      <c r="AI153" s="1" t="s">
        <v>63</v>
      </c>
      <c r="AK153" s="1" t="s">
        <v>853</v>
      </c>
      <c r="AM153" s="12" t="n">
        <v>46311</v>
      </c>
      <c r="AN153" s="1" t="s">
        <v>854</v>
      </c>
      <c r="AT153" s="1" t="s">
        <v>66</v>
      </c>
      <c r="AU153" s="1" t="str">
        <f aca="false">IF(OR(AT153=TRUE(),AT153="TRUE"),"This sample listing is provided solely to demonstrate the directory interface. It does not represent a live declaration, verification, endorsement or participating establishment.","")</f>
        <v/>
      </c>
      <c r="AV153" s="1" t="str">
        <f aca="false">IF(OR(A153="",B153="",C153="",D153=""),"Missing required fields",IF(NOT(AND(ISNUMBER(M153),ISNUMBER(N153))),"Missing coordinates","Complete"))</f>
        <v>Complete</v>
      </c>
      <c r="AW153" s="1" t="str">
        <f aca="false">IF(AND(ISNUMBER(M153),ISNUMBER(N153)),"Ready","Coordinates required")</f>
        <v>Ready</v>
      </c>
      <c r="AX153" s="1" t="str">
        <f aca="false">IF(OR(AT153=TRUE(),AT153="TRUE"),"Demo record",IF(A153="","Missing ID",IF(B153="","Missing name",IF(NOT(AND(ISNUMBER(M153),ISNUMBER(N153))),"Coordinates required","Ready for publication"))))</f>
        <v>Ready for publication</v>
      </c>
    </row>
    <row r="154" customFormat="false" ht="14.25" hidden="false" customHeight="true" outlineLevel="0" collapsed="false">
      <c r="A154" s="1" t="s">
        <v>855</v>
      </c>
      <c r="B154" s="1" t="s">
        <v>856</v>
      </c>
      <c r="C154" s="11" t="s">
        <v>52</v>
      </c>
      <c r="D154" s="1" t="s">
        <v>857</v>
      </c>
      <c r="E154" s="1" t="s">
        <v>858</v>
      </c>
      <c r="F154" s="1" t="str">
        <f aca="false">IF(C154="Singapore",IF(LEN(TEXT(E154,"000000"))=6,LEFT(TEXT(E154,"000000"),2),""),"")</f>
        <v>68</v>
      </c>
      <c r="H154" s="1" t="s">
        <v>87</v>
      </c>
      <c r="I154" s="1" t="s">
        <v>88</v>
      </c>
      <c r="J154" s="1" t="s">
        <v>89</v>
      </c>
      <c r="K154" s="11" t="s">
        <v>427</v>
      </c>
      <c r="L154" s="11" t="s">
        <v>59</v>
      </c>
      <c r="M154" s="1" t="n">
        <v>1.380376</v>
      </c>
      <c r="N154" s="1" t="n">
        <v>103.757136</v>
      </c>
      <c r="O154" s="11" t="s">
        <v>60</v>
      </c>
      <c r="P154" s="1" t="s">
        <v>73</v>
      </c>
      <c r="R154" s="1" t="s">
        <v>62</v>
      </c>
      <c r="AH154" s="1" t="s">
        <v>63</v>
      </c>
      <c r="AI154" s="1" t="s">
        <v>63</v>
      </c>
      <c r="AK154" s="1" t="s">
        <v>859</v>
      </c>
      <c r="AM154" s="12" t="n">
        <v>46311</v>
      </c>
      <c r="AN154" s="1" t="s">
        <v>860</v>
      </c>
      <c r="AT154" s="1" t="s">
        <v>66</v>
      </c>
      <c r="AU154" s="1" t="str">
        <f aca="false">IF(OR(AT154=TRUE(),AT154="TRUE"),"This sample listing is provided solely to demonstrate the directory interface. It does not represent a live declaration, verification, endorsement or participating establishment.","")</f>
        <v/>
      </c>
      <c r="AV154" s="1" t="str">
        <f aca="false">IF(OR(A154="",B154="",C154="",D154=""),"Missing required fields",IF(NOT(AND(ISNUMBER(M154),ISNUMBER(N154))),"Missing coordinates","Complete"))</f>
        <v>Complete</v>
      </c>
      <c r="AW154" s="1" t="str">
        <f aca="false">IF(AND(ISNUMBER(M154),ISNUMBER(N154)),"Ready","Coordinates required")</f>
        <v>Ready</v>
      </c>
      <c r="AX154" s="1" t="str">
        <f aca="false">IF(OR(AT154=TRUE(),AT154="TRUE"),"Demo record",IF(A154="","Missing ID",IF(B154="","Missing name",IF(NOT(AND(ISNUMBER(M154),ISNUMBER(N154))),"Coordinates required","Ready for publication"))))</f>
        <v>Ready for publication</v>
      </c>
    </row>
    <row r="155" customFormat="false" ht="14.25" hidden="false" customHeight="true" outlineLevel="0" collapsed="false">
      <c r="A155" s="1" t="s">
        <v>861</v>
      </c>
      <c r="B155" s="1" t="s">
        <v>862</v>
      </c>
      <c r="C155" s="11" t="s">
        <v>52</v>
      </c>
      <c r="D155" s="1" t="s">
        <v>863</v>
      </c>
      <c r="F155" s="1" t="str">
        <f aca="false">IF(C155="Singapore",IF(LEN(TEXT(E155,"000000"))=6,LEFT(TEXT(E155,"000000"),2),""),"")</f>
        <v>00</v>
      </c>
      <c r="K155" s="11"/>
      <c r="L155" s="11" t="s">
        <v>59</v>
      </c>
      <c r="M155" s="1" t="n">
        <v>1.334918</v>
      </c>
      <c r="N155" s="1" t="n">
        <v>103.747119</v>
      </c>
      <c r="O155" s="11" t="s">
        <v>60</v>
      </c>
      <c r="P155" s="1" t="s">
        <v>73</v>
      </c>
      <c r="R155" s="1" t="s">
        <v>62</v>
      </c>
      <c r="AH155" s="1" t="s">
        <v>63</v>
      </c>
      <c r="AI155" s="1" t="s">
        <v>63</v>
      </c>
      <c r="AK155" s="1" t="s">
        <v>202</v>
      </c>
      <c r="AM155" s="12" t="n">
        <v>46311</v>
      </c>
      <c r="AT155" s="1" t="s">
        <v>66</v>
      </c>
      <c r="AU155" s="1" t="str">
        <f aca="false">IF(OR(AT155=TRUE(),AT155="TRUE"),"This sample listing is provided solely to demonstrate the directory interface. It does not represent a live declaration, verification, endorsement or participating establishment.","")</f>
        <v/>
      </c>
      <c r="AV155" s="1" t="str">
        <f aca="false">IF(OR(A155="",B155="",C155="",D155=""),"Missing required fields",IF(NOT(AND(ISNUMBER(M155),ISNUMBER(N155))),"Missing coordinates","Complete"))</f>
        <v>Complete</v>
      </c>
      <c r="AW155" s="1" t="str">
        <f aca="false">IF(AND(ISNUMBER(M155),ISNUMBER(N155)),"Ready","Coordinates required")</f>
        <v>Ready</v>
      </c>
      <c r="AX155" s="1" t="str">
        <f aca="false">IF(OR(AT155=TRUE(),AT155="TRUE"),"Demo record",IF(A155="","Missing ID",IF(B155="","Missing name",IF(NOT(AND(ISNUMBER(M155),ISNUMBER(N155))),"Coordinates required","Ready for publication"))))</f>
        <v>Ready for publication</v>
      </c>
    </row>
    <row r="156" customFormat="false" ht="14.25" hidden="false" customHeight="true" outlineLevel="0" collapsed="false">
      <c r="A156" s="1" t="s">
        <v>864</v>
      </c>
      <c r="B156" s="1" t="s">
        <v>865</v>
      </c>
      <c r="C156" s="11" t="s">
        <v>52</v>
      </c>
      <c r="D156" s="1" t="s">
        <v>866</v>
      </c>
      <c r="E156" s="1" t="s">
        <v>867</v>
      </c>
      <c r="F156" s="1" t="str">
        <f aca="false">IF(C156="Singapore",IF(LEN(TEXT(E156,"000000"))=6,LEFT(TEXT(E156,"000000"),2),""),"")</f>
        <v>42</v>
      </c>
      <c r="H156" s="1" t="s">
        <v>267</v>
      </c>
      <c r="I156" s="1" t="s">
        <v>268</v>
      </c>
      <c r="J156" s="1" t="s">
        <v>269</v>
      </c>
      <c r="K156" s="11" t="s">
        <v>399</v>
      </c>
      <c r="L156" s="11" t="s">
        <v>59</v>
      </c>
      <c r="M156" s="1" t="n">
        <v>1.313529</v>
      </c>
      <c r="N156" s="1" t="n">
        <v>103.900818</v>
      </c>
      <c r="O156" s="11" t="s">
        <v>60</v>
      </c>
      <c r="P156" s="1" t="s">
        <v>73</v>
      </c>
      <c r="R156" s="1" t="s">
        <v>62</v>
      </c>
      <c r="AH156" s="1" t="s">
        <v>63</v>
      </c>
      <c r="AI156" s="1" t="s">
        <v>63</v>
      </c>
      <c r="AK156" s="1" t="s">
        <v>868</v>
      </c>
      <c r="AM156" s="12" t="n">
        <v>46311</v>
      </c>
      <c r="AT156" s="1" t="s">
        <v>66</v>
      </c>
      <c r="AU156" s="1" t="str">
        <f aca="false">IF(OR(AT156=TRUE(),AT156="TRUE"),"This sample listing is provided solely to demonstrate the directory interface. It does not represent a live declaration, verification, endorsement or participating establishment.","")</f>
        <v/>
      </c>
      <c r="AV156" s="1" t="str">
        <f aca="false">IF(OR(A156="",B156="",C156="",D156=""),"Missing required fields",IF(NOT(AND(ISNUMBER(M156),ISNUMBER(N156))),"Missing coordinates","Complete"))</f>
        <v>Complete</v>
      </c>
      <c r="AW156" s="1" t="str">
        <f aca="false">IF(AND(ISNUMBER(M156),ISNUMBER(N156)),"Ready","Coordinates required")</f>
        <v>Ready</v>
      </c>
      <c r="AX156" s="1" t="str">
        <f aca="false">IF(OR(AT156=TRUE(),AT156="TRUE"),"Demo record",IF(A156="","Missing ID",IF(B156="","Missing name",IF(NOT(AND(ISNUMBER(M156),ISNUMBER(N156))),"Coordinates required","Ready for publication"))))</f>
        <v>Ready for publication</v>
      </c>
    </row>
    <row r="157" customFormat="false" ht="14.25" hidden="false" customHeight="true" outlineLevel="0" collapsed="false">
      <c r="A157" s="1" t="s">
        <v>869</v>
      </c>
      <c r="B157" s="1" t="s">
        <v>870</v>
      </c>
      <c r="C157" s="11" t="s">
        <v>52</v>
      </c>
      <c r="D157" s="1" t="s">
        <v>871</v>
      </c>
      <c r="E157" s="1" t="s">
        <v>872</v>
      </c>
      <c r="F157" s="1" t="str">
        <f aca="false">IF(C157="Singapore",IF(LEN(TEXT(E157,"000000"))=6,LEFT(TEXT(E157,"000000"),2),""),"")</f>
        <v>19</v>
      </c>
      <c r="H157" s="1" t="s">
        <v>222</v>
      </c>
      <c r="I157" s="1" t="s">
        <v>223</v>
      </c>
      <c r="J157" s="1" t="s">
        <v>224</v>
      </c>
      <c r="K157" s="11" t="s">
        <v>241</v>
      </c>
      <c r="L157" s="11" t="s">
        <v>59</v>
      </c>
      <c r="M157" s="1" t="n">
        <v>1.302345</v>
      </c>
      <c r="N157" s="1" t="n">
        <v>103.859545</v>
      </c>
      <c r="O157" s="11" t="s">
        <v>60</v>
      </c>
      <c r="P157" s="1" t="s">
        <v>73</v>
      </c>
      <c r="R157" s="1" t="s">
        <v>62</v>
      </c>
      <c r="AH157" s="1" t="s">
        <v>63</v>
      </c>
      <c r="AI157" s="1" t="s">
        <v>63</v>
      </c>
      <c r="AK157" s="1" t="s">
        <v>873</v>
      </c>
      <c r="AM157" s="12" t="n">
        <v>46311</v>
      </c>
      <c r="AN157" s="1" t="s">
        <v>874</v>
      </c>
      <c r="AT157" s="1" t="s">
        <v>66</v>
      </c>
      <c r="AU157" s="1" t="str">
        <f aca="false">IF(OR(AT157=TRUE(),AT157="TRUE"),"This sample listing is provided solely to demonstrate the directory interface. It does not represent a live declaration, verification, endorsement or participating establishment.","")</f>
        <v/>
      </c>
      <c r="AV157" s="1" t="str">
        <f aca="false">IF(OR(A157="",B157="",C157="",D157=""),"Missing required fields",IF(NOT(AND(ISNUMBER(M157),ISNUMBER(N157))),"Missing coordinates","Complete"))</f>
        <v>Complete</v>
      </c>
      <c r="AW157" s="1" t="str">
        <f aca="false">IF(AND(ISNUMBER(M157),ISNUMBER(N157)),"Ready","Coordinates required")</f>
        <v>Ready</v>
      </c>
      <c r="AX157" s="1" t="str">
        <f aca="false">IF(OR(AT157=TRUE(),AT157="TRUE"),"Demo record",IF(A157="","Missing ID",IF(B157="","Missing name",IF(NOT(AND(ISNUMBER(M157),ISNUMBER(N157))),"Coordinates required","Ready for publication"))))</f>
        <v>Ready for publication</v>
      </c>
    </row>
    <row r="158" customFormat="false" ht="14.25" hidden="false" customHeight="true" outlineLevel="0" collapsed="false">
      <c r="A158" s="1" t="s">
        <v>875</v>
      </c>
      <c r="B158" s="1" t="s">
        <v>876</v>
      </c>
      <c r="C158" s="11" t="s">
        <v>52</v>
      </c>
      <c r="D158" s="1" t="s">
        <v>877</v>
      </c>
      <c r="E158" s="1" t="s">
        <v>878</v>
      </c>
      <c r="F158" s="1" t="str">
        <f aca="false">IF(C158="Singapore",IF(LEN(TEXT(E158,"000000"))=6,LEFT(TEXT(E158,"000000"),2),""),"")</f>
        <v>19</v>
      </c>
      <c r="H158" s="1" t="s">
        <v>222</v>
      </c>
      <c r="I158" s="1" t="s">
        <v>223</v>
      </c>
      <c r="J158" s="1" t="s">
        <v>224</v>
      </c>
      <c r="K158" s="11" t="s">
        <v>241</v>
      </c>
      <c r="L158" s="11" t="s">
        <v>59</v>
      </c>
      <c r="M158" s="1" t="n">
        <v>1.30266</v>
      </c>
      <c r="N158" s="1" t="n">
        <v>103.8587</v>
      </c>
      <c r="O158" s="11" t="s">
        <v>60</v>
      </c>
      <c r="P158" s="1" t="s">
        <v>73</v>
      </c>
      <c r="R158" s="1" t="s">
        <v>62</v>
      </c>
      <c r="AH158" s="1" t="s">
        <v>63</v>
      </c>
      <c r="AI158" s="1" t="s">
        <v>63</v>
      </c>
      <c r="AK158" s="1" t="s">
        <v>879</v>
      </c>
      <c r="AM158" s="12" t="n">
        <v>46311</v>
      </c>
      <c r="AN158" s="1" t="s">
        <v>880</v>
      </c>
      <c r="AT158" s="1" t="s">
        <v>66</v>
      </c>
      <c r="AU158" s="1" t="str">
        <f aca="false">IF(OR(AT158=TRUE(),AT158="TRUE"),"This sample listing is provided solely to demonstrate the directory interface. It does not represent a live declaration, verification, endorsement or participating establishment.","")</f>
        <v/>
      </c>
      <c r="AV158" s="1" t="str">
        <f aca="false">IF(OR(A158="",B158="",C158="",D158=""),"Missing required fields",IF(NOT(AND(ISNUMBER(M158),ISNUMBER(N158))),"Missing coordinates","Complete"))</f>
        <v>Complete</v>
      </c>
      <c r="AW158" s="1" t="str">
        <f aca="false">IF(AND(ISNUMBER(M158),ISNUMBER(N158)),"Ready","Coordinates required")</f>
        <v>Ready</v>
      </c>
      <c r="AX158" s="1" t="str">
        <f aca="false">IF(OR(AT158=TRUE(),AT158="TRUE"),"Demo record",IF(A158="","Missing ID",IF(B158="","Missing name",IF(NOT(AND(ISNUMBER(M158),ISNUMBER(N158))),"Coordinates required","Ready for publication"))))</f>
        <v>Ready for publication</v>
      </c>
    </row>
    <row r="159" customFormat="false" ht="14.25" hidden="false" customHeight="true" outlineLevel="0" collapsed="false">
      <c r="A159" s="1" t="s">
        <v>881</v>
      </c>
      <c r="B159" s="1" t="s">
        <v>882</v>
      </c>
      <c r="C159" s="11" t="s">
        <v>52</v>
      </c>
      <c r="D159" s="1" t="s">
        <v>349</v>
      </c>
      <c r="E159" s="1" t="s">
        <v>350</v>
      </c>
      <c r="F159" s="1" t="str">
        <f aca="false">IF(C159="Singapore",IF(LEN(TEXT(E159,"000000"))=6,LEFT(TEXT(E159,"000000"),2),""),"")</f>
        <v>52</v>
      </c>
      <c r="H159" s="1" t="s">
        <v>70</v>
      </c>
      <c r="I159" s="1" t="s">
        <v>71</v>
      </c>
      <c r="J159" s="1" t="s">
        <v>72</v>
      </c>
      <c r="K159" s="11" t="s">
        <v>129</v>
      </c>
      <c r="L159" s="11" t="s">
        <v>59</v>
      </c>
      <c r="M159" s="1" t="n">
        <v>1.352197</v>
      </c>
      <c r="N159" s="1" t="n">
        <v>103.953667</v>
      </c>
      <c r="O159" s="11" t="s">
        <v>60</v>
      </c>
      <c r="P159" s="1" t="s">
        <v>73</v>
      </c>
      <c r="R159" s="1" t="s">
        <v>62</v>
      </c>
      <c r="AH159" s="1" t="s">
        <v>63</v>
      </c>
      <c r="AI159" s="1" t="s">
        <v>63</v>
      </c>
      <c r="AK159" s="1" t="s">
        <v>130</v>
      </c>
      <c r="AM159" s="12" t="n">
        <v>46311</v>
      </c>
      <c r="AN159" s="1" t="s">
        <v>883</v>
      </c>
      <c r="AT159" s="1" t="s">
        <v>66</v>
      </c>
      <c r="AU159" s="1" t="str">
        <f aca="false">IF(OR(AT159=TRUE(),AT159="TRUE"),"This sample listing is provided solely to demonstrate the directory interface. It does not represent a live declaration, verification, endorsement or participating establishment.","")</f>
        <v/>
      </c>
      <c r="AV159" s="1" t="str">
        <f aca="false">IF(OR(A159="",B159="",C159="",D159=""),"Missing required fields",IF(NOT(AND(ISNUMBER(M159),ISNUMBER(N159))),"Missing coordinates","Complete"))</f>
        <v>Complete</v>
      </c>
      <c r="AW159" s="1" t="str">
        <f aca="false">IF(AND(ISNUMBER(M159),ISNUMBER(N159)),"Ready","Coordinates required")</f>
        <v>Ready</v>
      </c>
      <c r="AX159" s="1" t="str">
        <f aca="false">IF(OR(AT159=TRUE(),AT159="TRUE"),"Demo record",IF(A159="","Missing ID",IF(B159="","Missing name",IF(NOT(AND(ISNUMBER(M159),ISNUMBER(N159))),"Coordinates required","Ready for publication"))))</f>
        <v>Ready for publication</v>
      </c>
    </row>
    <row r="160" customFormat="false" ht="14.25" hidden="false" customHeight="true" outlineLevel="0" collapsed="false">
      <c r="A160" s="1" t="s">
        <v>884</v>
      </c>
      <c r="B160" s="1" t="s">
        <v>885</v>
      </c>
      <c r="C160" s="11" t="s">
        <v>52</v>
      </c>
      <c r="D160" s="1" t="s">
        <v>886</v>
      </c>
      <c r="E160" s="1" t="s">
        <v>887</v>
      </c>
      <c r="F160" s="1" t="str">
        <f aca="false">IF(C160="Singapore",IF(LEN(TEXT(E160,"000000"))=6,LEFT(TEXT(E160,"000000"),2),""),"")</f>
        <v>17</v>
      </c>
      <c r="H160" s="1" t="s">
        <v>601</v>
      </c>
      <c r="I160" s="1" t="s">
        <v>602</v>
      </c>
      <c r="J160" s="1" t="s">
        <v>603</v>
      </c>
      <c r="K160" s="11" t="s">
        <v>102</v>
      </c>
      <c r="L160" s="11" t="s">
        <v>59</v>
      </c>
      <c r="M160" s="1" t="n">
        <v>1.289969</v>
      </c>
      <c r="N160" s="1" t="n">
        <v>103.849493</v>
      </c>
      <c r="O160" s="11" t="s">
        <v>60</v>
      </c>
      <c r="P160" s="1" t="s">
        <v>73</v>
      </c>
      <c r="R160" s="1" t="s">
        <v>62</v>
      </c>
      <c r="AH160" s="1" t="s">
        <v>63</v>
      </c>
      <c r="AI160" s="1" t="s">
        <v>63</v>
      </c>
      <c r="AK160" s="1" t="s">
        <v>888</v>
      </c>
      <c r="AM160" s="12" t="s">
        <v>65</v>
      </c>
      <c r="AT160" s="1" t="s">
        <v>66</v>
      </c>
      <c r="AU160" s="1" t="str">
        <f aca="false">IF(OR(AT160=TRUE(),AT160="TRUE"),"This sample listing is provided solely to demonstrate the directory interface. It does not represent a live declaration, verification, endorsement or participating establishment.","")</f>
        <v/>
      </c>
      <c r="AV160" s="1" t="str">
        <f aca="false">IF(OR(A160="",B160="",C160="",D160=""),"Missing required fields",IF(NOT(AND(ISNUMBER(M160),ISNUMBER(N160))),"Missing coordinates","Complete"))</f>
        <v>Complete</v>
      </c>
      <c r="AW160" s="1" t="str">
        <f aca="false">IF(AND(ISNUMBER(M160),ISNUMBER(N160)),"Ready","Coordinates required")</f>
        <v>Ready</v>
      </c>
      <c r="AX160" s="1" t="str">
        <f aca="false">IF(OR(AT160=TRUE(),AT160="TRUE"),"Demo record",IF(A160="","Missing ID",IF(B160="","Missing name",IF(NOT(AND(ISNUMBER(M160),ISNUMBER(N160))),"Coordinates required","Ready for publication"))))</f>
        <v>Ready for publication</v>
      </c>
    </row>
    <row r="161" customFormat="false" ht="14.25" hidden="false" customHeight="true" outlineLevel="0" collapsed="false">
      <c r="A161" s="1" t="s">
        <v>889</v>
      </c>
      <c r="B161" s="1" t="s">
        <v>890</v>
      </c>
      <c r="C161" s="11" t="s">
        <v>52</v>
      </c>
      <c r="D161" s="1" t="s">
        <v>891</v>
      </c>
      <c r="E161" s="1" t="s">
        <v>441</v>
      </c>
      <c r="F161" s="1" t="str">
        <f aca="false">IF(C161="Singapore",IF(LEN(TEXT(E161,"000000"))=6,LEFT(TEXT(E161,"000000"),2),""),"")</f>
        <v>32</v>
      </c>
      <c r="H161" s="1" t="s">
        <v>55</v>
      </c>
      <c r="I161" s="1" t="s">
        <v>56</v>
      </c>
      <c r="J161" s="1" t="s">
        <v>57</v>
      </c>
      <c r="K161" s="11" t="s">
        <v>589</v>
      </c>
      <c r="L161" s="11" t="s">
        <v>59</v>
      </c>
      <c r="M161" s="1" t="n">
        <v>1.327074</v>
      </c>
      <c r="N161" s="1" t="n">
        <v>103.846776</v>
      </c>
      <c r="O161" s="11" t="s">
        <v>60</v>
      </c>
      <c r="P161" s="1" t="s">
        <v>73</v>
      </c>
      <c r="R161" s="1" t="s">
        <v>62</v>
      </c>
      <c r="AH161" s="1" t="s">
        <v>63</v>
      </c>
      <c r="AI161" s="1" t="s">
        <v>63</v>
      </c>
      <c r="AK161" s="1" t="s">
        <v>892</v>
      </c>
      <c r="AM161" s="12" t="s">
        <v>65</v>
      </c>
      <c r="AT161" s="1" t="s">
        <v>66</v>
      </c>
      <c r="AU161" s="1" t="str">
        <f aca="false">IF(OR(AT161=TRUE(),AT161="TRUE"),"This sample listing is provided solely to demonstrate the directory interface. It does not represent a live declaration, verification, endorsement or participating establishment.","")</f>
        <v/>
      </c>
      <c r="AV161" s="1" t="str">
        <f aca="false">IF(OR(A161="",B161="",C161="",D161=""),"Missing required fields",IF(NOT(AND(ISNUMBER(M161),ISNUMBER(N161))),"Missing coordinates","Complete"))</f>
        <v>Complete</v>
      </c>
      <c r="AW161" s="1" t="str">
        <f aca="false">IF(AND(ISNUMBER(M161),ISNUMBER(N161)),"Ready","Coordinates required")</f>
        <v>Ready</v>
      </c>
      <c r="AX161" s="1" t="str">
        <f aca="false">IF(OR(AT161=TRUE(),AT161="TRUE"),"Demo record",IF(A161="","Missing ID",IF(B161="","Missing name",IF(NOT(AND(ISNUMBER(M161),ISNUMBER(N161))),"Coordinates required","Ready for publication"))))</f>
        <v>Ready for publication</v>
      </c>
    </row>
    <row r="162" customFormat="false" ht="14.25" hidden="false" customHeight="true" outlineLevel="0" collapsed="false">
      <c r="A162" s="1" t="s">
        <v>893</v>
      </c>
      <c r="B162" s="1" t="s">
        <v>890</v>
      </c>
      <c r="C162" s="11" t="s">
        <v>52</v>
      </c>
      <c r="D162" s="1" t="s">
        <v>894</v>
      </c>
      <c r="F162" s="1" t="str">
        <f aca="false">IF(C162="Singapore",IF(LEN(TEXT(E162,"000000"))=6,LEFT(TEXT(E162,"000000"),2),""),"")</f>
        <v>00</v>
      </c>
      <c r="K162" s="11" t="s">
        <v>589</v>
      </c>
      <c r="L162" s="11" t="s">
        <v>59</v>
      </c>
      <c r="M162" s="1" t="n">
        <v>1.317503</v>
      </c>
      <c r="N162" s="1" t="n">
        <v>103.89304</v>
      </c>
      <c r="O162" s="11" t="s">
        <v>60</v>
      </c>
      <c r="P162" s="1" t="s">
        <v>61</v>
      </c>
      <c r="R162" s="1" t="s">
        <v>62</v>
      </c>
      <c r="AH162" s="1" t="s">
        <v>63</v>
      </c>
      <c r="AI162" s="1" t="s">
        <v>63</v>
      </c>
      <c r="AK162" s="1" t="s">
        <v>843</v>
      </c>
      <c r="AM162" s="12" t="n">
        <v>46311</v>
      </c>
      <c r="AT162" s="1" t="s">
        <v>66</v>
      </c>
      <c r="AU162" s="1" t="str">
        <f aca="false">IF(OR(AT162=TRUE(),AT162="TRUE"),"This sample listing is provided solely to demonstrate the directory interface. It does not represent a live declaration, verification, endorsement or participating establishment.","")</f>
        <v/>
      </c>
      <c r="AV162" s="1" t="str">
        <f aca="false">IF(OR(A162="",B162="",C162="",D162=""),"Missing required fields",IF(NOT(AND(ISNUMBER(M162),ISNUMBER(N162))),"Missing coordinates","Complete"))</f>
        <v>Complete</v>
      </c>
      <c r="AW162" s="1" t="str">
        <f aca="false">IF(AND(ISNUMBER(M162),ISNUMBER(N162)),"Ready","Coordinates required")</f>
        <v>Ready</v>
      </c>
      <c r="AX162" s="1" t="str">
        <f aca="false">IF(OR(AT162=TRUE(),AT162="TRUE"),"Demo record",IF(A162="","Missing ID",IF(B162="","Missing name",IF(NOT(AND(ISNUMBER(M162),ISNUMBER(N162))),"Coordinates required","Ready for publication"))))</f>
        <v>Ready for publication</v>
      </c>
    </row>
    <row r="163" customFormat="false" ht="14.25" hidden="false" customHeight="true" outlineLevel="0" collapsed="false">
      <c r="A163" s="1" t="s">
        <v>895</v>
      </c>
      <c r="B163" s="1" t="s">
        <v>890</v>
      </c>
      <c r="C163" s="11" t="s">
        <v>52</v>
      </c>
      <c r="D163" s="1" t="s">
        <v>896</v>
      </c>
      <c r="F163" s="1" t="str">
        <f aca="false">IF(C163="Singapore",IF(LEN(TEXT(E163,"000000"))=6,LEFT(TEXT(E163,"000000"),2),""),"")</f>
        <v>00</v>
      </c>
      <c r="K163" s="11" t="s">
        <v>589</v>
      </c>
      <c r="L163" s="11" t="s">
        <v>59</v>
      </c>
      <c r="M163" s="1" t="n">
        <v>1.354123</v>
      </c>
      <c r="N163" s="1" t="n">
        <v>103.945264</v>
      </c>
      <c r="O163" s="11" t="s">
        <v>60</v>
      </c>
      <c r="P163" s="1" t="s">
        <v>61</v>
      </c>
      <c r="R163" s="1" t="s">
        <v>62</v>
      </c>
      <c r="AH163" s="1" t="s">
        <v>63</v>
      </c>
      <c r="AI163" s="1" t="s">
        <v>63</v>
      </c>
      <c r="AK163" s="1" t="s">
        <v>82</v>
      </c>
      <c r="AM163" s="12" t="n">
        <v>46311</v>
      </c>
      <c r="AT163" s="1" t="s">
        <v>66</v>
      </c>
      <c r="AU163" s="1" t="str">
        <f aca="false">IF(OR(AT163=TRUE(),AT163="TRUE"),"This sample listing is provided solely to demonstrate the directory interface. It does not represent a live declaration, verification, endorsement or participating establishment.","")</f>
        <v/>
      </c>
      <c r="AV163" s="1" t="str">
        <f aca="false">IF(OR(A163="",B163="",C163="",D163=""),"Missing required fields",IF(NOT(AND(ISNUMBER(M163),ISNUMBER(N163))),"Missing coordinates","Complete"))</f>
        <v>Complete</v>
      </c>
      <c r="AW163" s="1" t="str">
        <f aca="false">IF(AND(ISNUMBER(M163),ISNUMBER(N163)),"Ready","Coordinates required")</f>
        <v>Ready</v>
      </c>
      <c r="AX163" s="1" t="str">
        <f aca="false">IF(OR(AT163=TRUE(),AT163="TRUE"),"Demo record",IF(A163="","Missing ID",IF(B163="","Missing name",IF(NOT(AND(ISNUMBER(M163),ISNUMBER(N163))),"Coordinates required","Ready for publication"))))</f>
        <v>Ready for publication</v>
      </c>
    </row>
    <row r="164" customFormat="false" ht="14.25" hidden="false" customHeight="true" outlineLevel="0" collapsed="false">
      <c r="A164" s="1" t="s">
        <v>897</v>
      </c>
      <c r="B164" s="1" t="s">
        <v>898</v>
      </c>
      <c r="C164" s="11" t="s">
        <v>52</v>
      </c>
      <c r="D164" s="1" t="s">
        <v>899</v>
      </c>
      <c r="E164" s="1" t="s">
        <v>192</v>
      </c>
      <c r="F164" s="1" t="str">
        <f aca="false">IF(C164="Singapore",IF(LEN(TEXT(E164,"000000"))=6,LEFT(TEXT(E164,"000000"),2),""),"")</f>
        <v>03</v>
      </c>
      <c r="H164" s="1" t="s">
        <v>193</v>
      </c>
      <c r="I164" s="1" t="s">
        <v>194</v>
      </c>
      <c r="J164" s="1" t="s">
        <v>195</v>
      </c>
      <c r="K164" s="11" t="s">
        <v>900</v>
      </c>
      <c r="L164" s="11" t="s">
        <v>59</v>
      </c>
      <c r="M164" s="1" t="n">
        <v>1.289368</v>
      </c>
      <c r="N164" s="1" t="n">
        <v>103.856911</v>
      </c>
      <c r="O164" s="11" t="s">
        <v>60</v>
      </c>
      <c r="P164" s="1" t="s">
        <v>73</v>
      </c>
      <c r="R164" s="1" t="s">
        <v>62</v>
      </c>
      <c r="AH164" s="1" t="s">
        <v>63</v>
      </c>
      <c r="AI164" s="1" t="s">
        <v>63</v>
      </c>
      <c r="AK164" s="1" t="s">
        <v>901</v>
      </c>
      <c r="AM164" s="12" t="n">
        <v>46311</v>
      </c>
      <c r="AT164" s="1" t="s">
        <v>66</v>
      </c>
      <c r="AU164" s="1" t="str">
        <f aca="false">IF(OR(AT164=TRUE(),AT164="TRUE"),"This sample listing is provided solely to demonstrate the directory interface. It does not represent a live declaration, verification, endorsement or participating establishment.","")</f>
        <v/>
      </c>
      <c r="AV164" s="1" t="str">
        <f aca="false">IF(OR(A164="",B164="",C164="",D164=""),"Missing required fields",IF(NOT(AND(ISNUMBER(M164),ISNUMBER(N164))),"Missing coordinates","Complete"))</f>
        <v>Complete</v>
      </c>
      <c r="AW164" s="1" t="str">
        <f aca="false">IF(AND(ISNUMBER(M164),ISNUMBER(N164)),"Ready","Coordinates required")</f>
        <v>Ready</v>
      </c>
      <c r="AX164" s="1" t="str">
        <f aca="false">IF(OR(AT164=TRUE(),AT164="TRUE"),"Demo record",IF(A164="","Missing ID",IF(B164="","Missing name",IF(NOT(AND(ISNUMBER(M164),ISNUMBER(N164))),"Coordinates required","Ready for publication"))))</f>
        <v>Ready for publication</v>
      </c>
    </row>
    <row r="165" customFormat="false" ht="14.25" hidden="false" customHeight="true" outlineLevel="0" collapsed="false">
      <c r="A165" s="1" t="s">
        <v>902</v>
      </c>
      <c r="B165" s="1" t="s">
        <v>903</v>
      </c>
      <c r="C165" s="11" t="s">
        <v>52</v>
      </c>
      <c r="D165" s="1" t="s">
        <v>904</v>
      </c>
      <c r="E165" s="1" t="s">
        <v>282</v>
      </c>
      <c r="F165" s="1" t="str">
        <f aca="false">IF(C165="Singapore",IF(LEN(TEXT(E165,"000000"))=6,LEFT(TEXT(E165,"000000"),2),""),"")</f>
        <v>05</v>
      </c>
      <c r="H165" s="1" t="s">
        <v>193</v>
      </c>
      <c r="I165" s="1" t="s">
        <v>194</v>
      </c>
      <c r="J165" s="1" t="s">
        <v>195</v>
      </c>
      <c r="K165" s="11"/>
      <c r="L165" s="11" t="s">
        <v>59</v>
      </c>
      <c r="M165" s="1" t="n">
        <v>1.285243</v>
      </c>
      <c r="N165" s="1" t="n">
        <v>103.844971</v>
      </c>
      <c r="O165" s="11" t="s">
        <v>60</v>
      </c>
      <c r="P165" s="1" t="s">
        <v>61</v>
      </c>
      <c r="R165" s="1" t="s">
        <v>62</v>
      </c>
      <c r="AH165" s="1" t="s">
        <v>63</v>
      </c>
      <c r="AI165" s="1" t="s">
        <v>63</v>
      </c>
      <c r="AK165" s="1" t="s">
        <v>283</v>
      </c>
      <c r="AM165" s="12" t="n">
        <v>46311</v>
      </c>
      <c r="AN165" s="1" t="s">
        <v>905</v>
      </c>
      <c r="AT165" s="1" t="s">
        <v>66</v>
      </c>
      <c r="AU165" s="1" t="str">
        <f aca="false">IF(OR(AT165=TRUE(),AT165="TRUE"),"This sample listing is provided solely to demonstrate the directory interface. It does not represent a live declaration, verification, endorsement or participating establishment.","")</f>
        <v/>
      </c>
      <c r="AV165" s="1" t="str">
        <f aca="false">IF(OR(A165="",B165="",C165="",D165=""),"Missing required fields",IF(NOT(AND(ISNUMBER(M165),ISNUMBER(N165))),"Missing coordinates","Complete"))</f>
        <v>Complete</v>
      </c>
      <c r="AW165" s="1" t="str">
        <f aca="false">IF(AND(ISNUMBER(M165),ISNUMBER(N165)),"Ready","Coordinates required")</f>
        <v>Ready</v>
      </c>
      <c r="AX165" s="1" t="str">
        <f aca="false">IF(OR(AT165=TRUE(),AT165="TRUE"),"Demo record",IF(A165="","Missing ID",IF(B165="","Missing name",IF(NOT(AND(ISNUMBER(M165),ISNUMBER(N165))),"Coordinates required","Ready for publication"))))</f>
        <v>Ready for publication</v>
      </c>
    </row>
    <row r="166" customFormat="false" ht="16.5" hidden="false" customHeight="true" outlineLevel="0" collapsed="false">
      <c r="A166" s="1" t="s">
        <v>906</v>
      </c>
      <c r="B166" s="1" t="s">
        <v>907</v>
      </c>
      <c r="C166" s="11" t="s">
        <v>52</v>
      </c>
      <c r="D166" s="1" t="s">
        <v>908</v>
      </c>
      <c r="E166" s="1" t="s">
        <v>86</v>
      </c>
      <c r="F166" s="1" t="str">
        <f aca="false">IF(C166="Singapore",IF(LEN(TEXT(E166,"000000"))=6,LEFT(TEXT(E166,"000000"),2),""),"")</f>
        <v>67</v>
      </c>
      <c r="H166" s="1" t="s">
        <v>87</v>
      </c>
      <c r="I166" s="1" t="s">
        <v>88</v>
      </c>
      <c r="J166" s="1" t="s">
        <v>89</v>
      </c>
      <c r="K166" s="11"/>
      <c r="L166" s="11" t="s">
        <v>112</v>
      </c>
      <c r="M166" s="1" t="n">
        <v>1.387209</v>
      </c>
      <c r="N166" s="1" t="n">
        <v>103.761084</v>
      </c>
      <c r="O166" s="11" t="s">
        <v>60</v>
      </c>
      <c r="P166" s="1" t="s">
        <v>113</v>
      </c>
      <c r="R166" s="1" t="s">
        <v>62</v>
      </c>
      <c r="AH166" s="1" t="s">
        <v>63</v>
      </c>
      <c r="AI166" s="1" t="s">
        <v>63</v>
      </c>
      <c r="AK166" s="1" t="s">
        <v>909</v>
      </c>
      <c r="AM166" s="12" t="n">
        <v>46311</v>
      </c>
      <c r="AT166" s="1" t="s">
        <v>66</v>
      </c>
      <c r="AU166" s="1" t="str">
        <f aca="false">IF(OR(AT166=TRUE(),AT166="TRUE"),"This sample listing is provided solely to demonstrate the directory interface. It does not represent a live declaration, verification, endorsement or participating establishment.","")</f>
        <v/>
      </c>
      <c r="AV166" s="1" t="str">
        <f aca="false">IF(OR(A166="",B166="",C166="",D166=""),"Missing required fields",IF(NOT(AND(ISNUMBER(M166),ISNUMBER(N166))),"Missing coordinates","Complete"))</f>
        <v>Complete</v>
      </c>
      <c r="AW166" s="1" t="str">
        <f aca="false">IF(AND(ISNUMBER(M166),ISNUMBER(N166)),"Ready","Coordinates required")</f>
        <v>Ready</v>
      </c>
      <c r="AX166" s="1" t="str">
        <f aca="false">IF(OR(AT166=TRUE(),AT166="TRUE"),"Demo record",IF(A166="","Missing ID",IF(B166="","Missing name",IF(NOT(AND(ISNUMBER(M166),ISNUMBER(N166))),"Coordinates required","Ready for publication"))))</f>
        <v>Ready for publication</v>
      </c>
    </row>
    <row r="167" customFormat="false" ht="14.25" hidden="false" customHeight="true" outlineLevel="0" collapsed="false">
      <c r="A167" s="1" t="s">
        <v>910</v>
      </c>
      <c r="B167" s="1" t="s">
        <v>911</v>
      </c>
      <c r="C167" s="11" t="s">
        <v>52</v>
      </c>
      <c r="D167" s="1" t="s">
        <v>912</v>
      </c>
      <c r="E167" s="1" t="s">
        <v>913</v>
      </c>
      <c r="F167" s="1" t="str">
        <f aca="false">IF(C167="Singapore",IF(LEN(TEXT(E167,"000000"))=6,LEFT(TEXT(E167,"000000"),2),""),"")</f>
        <v>19</v>
      </c>
      <c r="H167" s="1" t="s">
        <v>222</v>
      </c>
      <c r="I167" s="1" t="s">
        <v>223</v>
      </c>
      <c r="J167" s="1" t="s">
        <v>224</v>
      </c>
      <c r="K167" s="11" t="s">
        <v>914</v>
      </c>
      <c r="L167" s="11" t="s">
        <v>59</v>
      </c>
      <c r="M167" s="1" t="n">
        <v>1.300371</v>
      </c>
      <c r="N167" s="1" t="n">
        <v>103.859786</v>
      </c>
      <c r="O167" s="11" t="s">
        <v>60</v>
      </c>
      <c r="P167" s="1" t="s">
        <v>73</v>
      </c>
      <c r="R167" s="1" t="s">
        <v>62</v>
      </c>
      <c r="AH167" s="1" t="s">
        <v>63</v>
      </c>
      <c r="AI167" s="1" t="s">
        <v>63</v>
      </c>
      <c r="AK167" s="1" t="s">
        <v>915</v>
      </c>
      <c r="AM167" s="12" t="n">
        <v>46311</v>
      </c>
      <c r="AT167" s="1" t="s">
        <v>66</v>
      </c>
      <c r="AU167" s="1" t="str">
        <f aca="false">IF(OR(AT167=TRUE(),AT167="TRUE"),"This sample listing is provided solely to demonstrate the directory interface. It does not represent a live declaration, verification, endorsement or participating establishment.","")</f>
        <v/>
      </c>
      <c r="AV167" s="1" t="str">
        <f aca="false">IF(OR(A167="",B167="",C167="",D167=""),"Missing required fields",IF(NOT(AND(ISNUMBER(M167),ISNUMBER(N167))),"Missing coordinates","Complete"))</f>
        <v>Complete</v>
      </c>
      <c r="AW167" s="1" t="str">
        <f aca="false">IF(AND(ISNUMBER(M167),ISNUMBER(N167)),"Ready","Coordinates required")</f>
        <v>Ready</v>
      </c>
      <c r="AX167" s="1" t="str">
        <f aca="false">IF(OR(AT167=TRUE(),AT167="TRUE"),"Demo record",IF(A167="","Missing ID",IF(B167="","Missing name",IF(NOT(AND(ISNUMBER(M167),ISNUMBER(N167))),"Coordinates required","Ready for publication"))))</f>
        <v>Ready for publication</v>
      </c>
    </row>
    <row r="168" customFormat="false" ht="14.25" hidden="false" customHeight="true" outlineLevel="0" collapsed="false">
      <c r="A168" s="1" t="s">
        <v>916</v>
      </c>
      <c r="B168" s="1" t="s">
        <v>917</v>
      </c>
      <c r="C168" s="11" t="s">
        <v>52</v>
      </c>
      <c r="D168" s="1" t="s">
        <v>918</v>
      </c>
      <c r="E168" s="1" t="s">
        <v>919</v>
      </c>
      <c r="F168" s="1" t="str">
        <f aca="false">IF(C168="Singapore",IF(LEN(TEXT(E168,"000000"))=6,LEFT(TEXT(E168,"000000"),2),""),"")</f>
        <v>19</v>
      </c>
      <c r="H168" s="1" t="s">
        <v>222</v>
      </c>
      <c r="I168" s="1" t="s">
        <v>223</v>
      </c>
      <c r="J168" s="1" t="s">
        <v>224</v>
      </c>
      <c r="K168" s="11" t="s">
        <v>276</v>
      </c>
      <c r="L168" s="11" t="s">
        <v>59</v>
      </c>
      <c r="M168" s="1" t="n">
        <v>1.30128</v>
      </c>
      <c r="N168" s="1" t="n">
        <v>103.859682</v>
      </c>
      <c r="O168" s="11" t="s">
        <v>60</v>
      </c>
      <c r="P168" s="1" t="s">
        <v>73</v>
      </c>
      <c r="R168" s="1" t="s">
        <v>62</v>
      </c>
      <c r="AH168" s="1" t="s">
        <v>63</v>
      </c>
      <c r="AI168" s="1" t="s">
        <v>63</v>
      </c>
      <c r="AK168" s="1" t="s">
        <v>920</v>
      </c>
      <c r="AM168" s="12" t="n">
        <v>46311</v>
      </c>
      <c r="AN168" s="1" t="s">
        <v>921</v>
      </c>
      <c r="AT168" s="1" t="s">
        <v>66</v>
      </c>
      <c r="AU168" s="1" t="str">
        <f aca="false">IF(OR(AT168=TRUE(),AT168="TRUE"),"This sample listing is provided solely to demonstrate the directory interface. It does not represent a live declaration, verification, endorsement or participating establishment.","")</f>
        <v/>
      </c>
      <c r="AV168" s="1" t="str">
        <f aca="false">IF(OR(A168="",B168="",C168="",D168=""),"Missing required fields",IF(NOT(AND(ISNUMBER(M168),ISNUMBER(N168))),"Missing coordinates","Complete"))</f>
        <v>Complete</v>
      </c>
      <c r="AW168" s="1" t="str">
        <f aca="false">IF(AND(ISNUMBER(M168),ISNUMBER(N168)),"Ready","Coordinates required")</f>
        <v>Ready</v>
      </c>
      <c r="AX168" s="1" t="str">
        <f aca="false">IF(OR(AT168=TRUE(),AT168="TRUE"),"Demo record",IF(A168="","Missing ID",IF(B168="","Missing name",IF(NOT(AND(ISNUMBER(M168),ISNUMBER(N168))),"Coordinates required","Ready for publication"))))</f>
        <v>Ready for publication</v>
      </c>
    </row>
    <row r="169" customFormat="false" ht="14.25" hidden="false" customHeight="true" outlineLevel="0" collapsed="false">
      <c r="A169" s="1" t="s">
        <v>922</v>
      </c>
      <c r="B169" s="1" t="s">
        <v>923</v>
      </c>
      <c r="C169" s="11" t="s">
        <v>52</v>
      </c>
      <c r="D169" s="1" t="s">
        <v>924</v>
      </c>
      <c r="E169" s="1" t="s">
        <v>925</v>
      </c>
      <c r="F169" s="1" t="str">
        <f aca="false">IF(C169="Singapore",IF(LEN(TEXT(E169,"000000"))=6,LEFT(TEXT(E169,"000000"),2),""),"")</f>
        <v>30</v>
      </c>
      <c r="H169" s="1" t="s">
        <v>926</v>
      </c>
      <c r="I169" s="1" t="s">
        <v>109</v>
      </c>
      <c r="J169" s="1" t="s">
        <v>110</v>
      </c>
      <c r="K169" s="11" t="s">
        <v>927</v>
      </c>
      <c r="L169" s="11" t="s">
        <v>59</v>
      </c>
      <c r="M169" s="1" t="n">
        <v>1.32035</v>
      </c>
      <c r="N169" s="1" t="n">
        <v>103.844145</v>
      </c>
      <c r="O169" s="11" t="s">
        <v>60</v>
      </c>
      <c r="P169" s="1" t="s">
        <v>73</v>
      </c>
      <c r="R169" s="1" t="s">
        <v>62</v>
      </c>
      <c r="AH169" s="1" t="s">
        <v>63</v>
      </c>
      <c r="AI169" s="1" t="s">
        <v>63</v>
      </c>
      <c r="AK169" s="1" t="s">
        <v>824</v>
      </c>
      <c r="AM169" s="12" t="n">
        <v>46311</v>
      </c>
      <c r="AN169" s="1" t="s">
        <v>928</v>
      </c>
      <c r="AT169" s="1" t="s">
        <v>66</v>
      </c>
      <c r="AU169" s="1" t="str">
        <f aca="false">IF(OR(AT169=TRUE(),AT169="TRUE"),"This sample listing is provided solely to demonstrate the directory interface. It does not represent a live declaration, verification, endorsement or participating establishment.","")</f>
        <v/>
      </c>
      <c r="AV169" s="1" t="str">
        <f aca="false">IF(OR(A169="",B169="",C169="",D169=""),"Missing required fields",IF(NOT(AND(ISNUMBER(M169),ISNUMBER(N169))),"Missing coordinates","Complete"))</f>
        <v>Complete</v>
      </c>
      <c r="AW169" s="1" t="str">
        <f aca="false">IF(AND(ISNUMBER(M169),ISNUMBER(N169)),"Ready","Coordinates required")</f>
        <v>Ready</v>
      </c>
      <c r="AX169" s="1" t="str">
        <f aca="false">IF(OR(AT169=TRUE(),AT169="TRUE"),"Demo record",IF(A169="","Missing ID",IF(B169="","Missing name",IF(NOT(AND(ISNUMBER(M169),ISNUMBER(N169))),"Coordinates required","Ready for publication"))))</f>
        <v>Ready for publication</v>
      </c>
    </row>
    <row r="170" customFormat="false" ht="14.25" hidden="false" customHeight="true" outlineLevel="0" collapsed="false">
      <c r="A170" s="1" t="s">
        <v>929</v>
      </c>
      <c r="B170" s="1" t="s">
        <v>930</v>
      </c>
      <c r="C170" s="11" t="s">
        <v>52</v>
      </c>
      <c r="D170" s="1" t="s">
        <v>931</v>
      </c>
      <c r="E170" s="1" t="s">
        <v>932</v>
      </c>
      <c r="F170" s="1" t="str">
        <f aca="false">IF(C170="Singapore",IF(LEN(TEXT(E170,"000000"))=6,LEFT(TEXT(E170,"000000"),2),""),"")</f>
        <v>78</v>
      </c>
      <c r="H170" s="1" t="s">
        <v>933</v>
      </c>
      <c r="I170" s="1" t="s">
        <v>934</v>
      </c>
      <c r="J170" s="1" t="s">
        <v>935</v>
      </c>
      <c r="K170" s="11" t="s">
        <v>102</v>
      </c>
      <c r="L170" s="11" t="s">
        <v>59</v>
      </c>
      <c r="M170" s="1" t="n">
        <v>1.397069</v>
      </c>
      <c r="N170" s="1" t="n">
        <v>103.818766</v>
      </c>
      <c r="O170" s="11" t="s">
        <v>60</v>
      </c>
      <c r="P170" s="1" t="s">
        <v>61</v>
      </c>
      <c r="R170" s="1" t="s">
        <v>62</v>
      </c>
      <c r="AH170" s="1" t="s">
        <v>63</v>
      </c>
      <c r="AI170" s="1" t="s">
        <v>63</v>
      </c>
      <c r="AK170" s="1" t="s">
        <v>936</v>
      </c>
      <c r="AM170" s="12" t="s">
        <v>65</v>
      </c>
      <c r="AT170" s="1" t="s">
        <v>66</v>
      </c>
      <c r="AU170" s="1" t="str">
        <f aca="false">IF(OR(AT170=TRUE(),AT170="TRUE"),"This sample listing is provided solely to demonstrate the directory interface. It does not represent a live declaration, verification, endorsement or participating establishment.","")</f>
        <v/>
      </c>
      <c r="AV170" s="1" t="str">
        <f aca="false">IF(OR(A170="",B170="",C170="",D170=""),"Missing required fields",IF(NOT(AND(ISNUMBER(M170),ISNUMBER(N170))),"Missing coordinates","Complete"))</f>
        <v>Complete</v>
      </c>
      <c r="AW170" s="1" t="str">
        <f aca="false">IF(AND(ISNUMBER(M170),ISNUMBER(N170)),"Ready","Coordinates required")</f>
        <v>Ready</v>
      </c>
      <c r="AX170" s="1" t="str">
        <f aca="false">IF(OR(AT170=TRUE(),AT170="TRUE"),"Demo record",IF(A170="","Missing ID",IF(B170="","Missing name",IF(NOT(AND(ISNUMBER(M170),ISNUMBER(N170))),"Coordinates required","Ready for publication"))))</f>
        <v>Ready for publication</v>
      </c>
    </row>
    <row r="171" customFormat="false" ht="14.25" hidden="false" customHeight="true" outlineLevel="0" collapsed="false">
      <c r="A171" s="1" t="s">
        <v>937</v>
      </c>
      <c r="B171" s="1" t="s">
        <v>938</v>
      </c>
      <c r="C171" s="11" t="s">
        <v>52</v>
      </c>
      <c r="D171" s="1" t="s">
        <v>939</v>
      </c>
      <c r="E171" s="1" t="s">
        <v>940</v>
      </c>
      <c r="F171" s="1" t="str">
        <f aca="false">IF(C171="Singapore",IF(LEN(TEXT(E171,"000000"))=6,LEFT(TEXT(E171,"000000"),2),""),"")</f>
        <v>12</v>
      </c>
      <c r="H171" s="1" t="s">
        <v>364</v>
      </c>
      <c r="I171" s="1" t="s">
        <v>365</v>
      </c>
      <c r="J171" s="1" t="s">
        <v>366</v>
      </c>
      <c r="K171" s="11" t="s">
        <v>102</v>
      </c>
      <c r="L171" s="11" t="s">
        <v>59</v>
      </c>
      <c r="M171" s="1" t="n">
        <v>1.321918</v>
      </c>
      <c r="N171" s="1" t="n">
        <v>103.770078</v>
      </c>
      <c r="O171" s="11" t="s">
        <v>60</v>
      </c>
      <c r="P171" s="1" t="s">
        <v>73</v>
      </c>
      <c r="R171" s="1" t="s">
        <v>62</v>
      </c>
      <c r="AH171" s="1" t="s">
        <v>63</v>
      </c>
      <c r="AI171" s="1" t="s">
        <v>63</v>
      </c>
      <c r="AK171" s="1" t="s">
        <v>941</v>
      </c>
      <c r="AM171" s="12" t="n">
        <v>46311</v>
      </c>
      <c r="AN171" s="1" t="s">
        <v>942</v>
      </c>
      <c r="AT171" s="1" t="s">
        <v>66</v>
      </c>
      <c r="AU171" s="1" t="str">
        <f aca="false">IF(OR(AT171=TRUE(),AT171="TRUE"),"This sample listing is provided solely to demonstrate the directory interface. It does not represent a live declaration, verification, endorsement or participating establishment.","")</f>
        <v/>
      </c>
      <c r="AV171" s="1" t="str">
        <f aca="false">IF(OR(A171="",B171="",C171="",D171=""),"Missing required fields",IF(NOT(AND(ISNUMBER(M171),ISNUMBER(N171))),"Missing coordinates","Complete"))</f>
        <v>Complete</v>
      </c>
      <c r="AW171" s="1" t="str">
        <f aca="false">IF(AND(ISNUMBER(M171),ISNUMBER(N171)),"Ready","Coordinates required")</f>
        <v>Ready</v>
      </c>
      <c r="AX171" s="1" t="str">
        <f aca="false">IF(OR(AT171=TRUE(),AT171="TRUE"),"Demo record",IF(A171="","Missing ID",IF(B171="","Missing name",IF(NOT(AND(ISNUMBER(M171),ISNUMBER(N171))),"Coordinates required","Ready for publication"))))</f>
        <v>Ready for publication</v>
      </c>
    </row>
    <row r="172" customFormat="false" ht="14.25" hidden="false" customHeight="true" outlineLevel="0" collapsed="false">
      <c r="A172" s="1" t="s">
        <v>943</v>
      </c>
      <c r="B172" s="1" t="s">
        <v>938</v>
      </c>
      <c r="C172" s="11" t="s">
        <v>52</v>
      </c>
      <c r="D172" s="1" t="s">
        <v>944</v>
      </c>
      <c r="E172" s="1" t="s">
        <v>945</v>
      </c>
      <c r="F172" s="1" t="str">
        <f aca="false">IF(C172="Singapore",IF(LEN(TEXT(E172,"000000"))=6,LEFT(TEXT(E172,"000000"),2),""),"")</f>
        <v>67</v>
      </c>
      <c r="H172" s="1" t="s">
        <v>87</v>
      </c>
      <c r="I172" s="1" t="s">
        <v>88</v>
      </c>
      <c r="J172" s="1" t="s">
        <v>89</v>
      </c>
      <c r="K172" s="11" t="s">
        <v>102</v>
      </c>
      <c r="L172" s="11" t="s">
        <v>59</v>
      </c>
      <c r="M172" s="1" t="n">
        <v>1.358047</v>
      </c>
      <c r="N172" s="1" t="n">
        <v>103.767918</v>
      </c>
      <c r="O172" s="11" t="s">
        <v>60</v>
      </c>
      <c r="P172" s="1" t="s">
        <v>61</v>
      </c>
      <c r="R172" s="1" t="s">
        <v>62</v>
      </c>
      <c r="AH172" s="1" t="s">
        <v>63</v>
      </c>
      <c r="AI172" s="1" t="s">
        <v>63</v>
      </c>
      <c r="AK172" s="1" t="s">
        <v>804</v>
      </c>
      <c r="AM172" s="12" t="n">
        <v>46311</v>
      </c>
      <c r="AN172" s="1" t="s">
        <v>942</v>
      </c>
      <c r="AT172" s="1" t="s">
        <v>66</v>
      </c>
      <c r="AU172" s="1" t="str">
        <f aca="false">IF(OR(AT172=TRUE(),AT172="TRUE"),"This sample listing is provided solely to demonstrate the directory interface. It does not represent a live declaration, verification, endorsement or participating establishment.","")</f>
        <v/>
      </c>
      <c r="AV172" s="1" t="str">
        <f aca="false">IF(OR(A172="",B172="",C172="",D172=""),"Missing required fields",IF(NOT(AND(ISNUMBER(M172),ISNUMBER(N172))),"Missing coordinates","Complete"))</f>
        <v>Complete</v>
      </c>
      <c r="AW172" s="1" t="str">
        <f aca="false">IF(AND(ISNUMBER(M172),ISNUMBER(N172)),"Ready","Coordinates required")</f>
        <v>Ready</v>
      </c>
      <c r="AX172" s="1" t="str">
        <f aca="false">IF(OR(AT172=TRUE(),AT172="TRUE"),"Demo record",IF(A172="","Missing ID",IF(B172="","Missing name",IF(NOT(AND(ISNUMBER(M172),ISNUMBER(N172))),"Coordinates required","Ready for publication"))))</f>
        <v>Ready for publication</v>
      </c>
    </row>
    <row r="173" customFormat="false" ht="14.25" hidden="false" customHeight="true" outlineLevel="0" collapsed="false">
      <c r="A173" s="1" t="s">
        <v>946</v>
      </c>
      <c r="B173" s="1" t="s">
        <v>947</v>
      </c>
      <c r="C173" s="11" t="s">
        <v>52</v>
      </c>
      <c r="D173" s="1" t="s">
        <v>68</v>
      </c>
      <c r="E173" s="1" t="s">
        <v>69</v>
      </c>
      <c r="F173" s="1" t="str">
        <f aca="false">IF(C173="Singapore",IF(LEN(TEXT(E173,"000000"))=6,LEFT(TEXT(E173,"000000"),2),""),"")</f>
        <v>51</v>
      </c>
      <c r="H173" s="1" t="s">
        <v>70</v>
      </c>
      <c r="I173" s="1" t="s">
        <v>71</v>
      </c>
      <c r="J173" s="1" t="s">
        <v>72</v>
      </c>
      <c r="K173" s="11" t="s">
        <v>948</v>
      </c>
      <c r="L173" s="11" t="s">
        <v>59</v>
      </c>
      <c r="M173" s="1" t="n">
        <v>1.372363</v>
      </c>
      <c r="N173" s="1" t="n">
        <v>103.9499</v>
      </c>
      <c r="O173" s="11" t="s">
        <v>60</v>
      </c>
      <c r="P173" s="1" t="s">
        <v>73</v>
      </c>
      <c r="R173" s="1" t="s">
        <v>62</v>
      </c>
      <c r="AH173" s="1" t="s">
        <v>63</v>
      </c>
      <c r="AI173" s="1" t="s">
        <v>63</v>
      </c>
      <c r="AK173" s="1" t="s">
        <v>79</v>
      </c>
      <c r="AM173" s="12" t="n">
        <v>46311</v>
      </c>
      <c r="AN173" s="1" t="s">
        <v>949</v>
      </c>
      <c r="AT173" s="1" t="s">
        <v>66</v>
      </c>
      <c r="AU173" s="1" t="str">
        <f aca="false">IF(OR(AT173=TRUE(),AT173="TRUE"),"This sample listing is provided solely to demonstrate the directory interface. It does not represent a live declaration, verification, endorsement or participating establishment.","")</f>
        <v/>
      </c>
      <c r="AV173" s="1" t="str">
        <f aca="false">IF(OR(A173="",B173="",C173="",D173=""),"Missing required fields",IF(NOT(AND(ISNUMBER(M173),ISNUMBER(N173))),"Missing coordinates","Complete"))</f>
        <v>Complete</v>
      </c>
      <c r="AW173" s="1" t="str">
        <f aca="false">IF(AND(ISNUMBER(M173),ISNUMBER(N173)),"Ready","Coordinates required")</f>
        <v>Ready</v>
      </c>
      <c r="AX173" s="1" t="str">
        <f aca="false">IF(OR(AT173=TRUE(),AT173="TRUE"),"Demo record",IF(A173="","Missing ID",IF(B173="","Missing name",IF(NOT(AND(ISNUMBER(M173),ISNUMBER(N173))),"Coordinates required","Ready for publication"))))</f>
        <v>Ready for publication</v>
      </c>
    </row>
    <row r="174" customFormat="false" ht="14.25" hidden="false" customHeight="true" outlineLevel="0" collapsed="false">
      <c r="A174" s="1" t="s">
        <v>950</v>
      </c>
      <c r="B174" s="1" t="s">
        <v>951</v>
      </c>
      <c r="C174" s="11" t="s">
        <v>52</v>
      </c>
      <c r="D174" s="1" t="s">
        <v>952</v>
      </c>
      <c r="E174" s="1" t="s">
        <v>953</v>
      </c>
      <c r="F174" s="1" t="str">
        <f aca="false">IF(C174="Singapore",IF(LEN(TEXT(E174,"000000"))=6,LEFT(TEXT(E174,"000000"),2),""),"")</f>
        <v>30</v>
      </c>
      <c r="H174" s="1" t="s">
        <v>926</v>
      </c>
      <c r="I174" s="1" t="s">
        <v>109</v>
      </c>
      <c r="J174" s="1" t="s">
        <v>110</v>
      </c>
      <c r="K174" s="11" t="s">
        <v>954</v>
      </c>
      <c r="L174" s="11" t="s">
        <v>59</v>
      </c>
      <c r="M174" s="1" t="n">
        <v>1.320729</v>
      </c>
      <c r="N174" s="1" t="n">
        <v>103.844198</v>
      </c>
      <c r="O174" s="11" t="s">
        <v>60</v>
      </c>
      <c r="P174" s="1" t="s">
        <v>73</v>
      </c>
      <c r="R174" s="1" t="s">
        <v>62</v>
      </c>
      <c r="AH174" s="1" t="s">
        <v>63</v>
      </c>
      <c r="AI174" s="1" t="s">
        <v>63</v>
      </c>
      <c r="AK174" s="1" t="s">
        <v>955</v>
      </c>
      <c r="AM174" s="12" t="s">
        <v>65</v>
      </c>
      <c r="AT174" s="1" t="s">
        <v>66</v>
      </c>
      <c r="AU174" s="1" t="str">
        <f aca="false">IF(OR(AT174=TRUE(),AT174="TRUE"),"This sample listing is provided solely to demonstrate the directory interface. It does not represent a live declaration, verification, endorsement or participating establishment.","")</f>
        <v/>
      </c>
      <c r="AV174" s="1" t="str">
        <f aca="false">IF(OR(A174="",B174="",C174="",D174=""),"Missing required fields",IF(NOT(AND(ISNUMBER(M174),ISNUMBER(N174))),"Missing coordinates","Complete"))</f>
        <v>Complete</v>
      </c>
      <c r="AW174" s="1" t="str">
        <f aca="false">IF(AND(ISNUMBER(M174),ISNUMBER(N174)),"Ready","Coordinates required")</f>
        <v>Ready</v>
      </c>
      <c r="AX174" s="1" t="str">
        <f aca="false">IF(OR(AT174=TRUE(),AT174="TRUE"),"Demo record",IF(A174="","Missing ID",IF(B174="","Missing name",IF(NOT(AND(ISNUMBER(M174),ISNUMBER(N174))),"Coordinates required","Ready for publication"))))</f>
        <v>Ready for publication</v>
      </c>
    </row>
    <row r="175" customFormat="false" ht="14.25" hidden="false" customHeight="true" outlineLevel="0" collapsed="false">
      <c r="A175" s="1" t="s">
        <v>956</v>
      </c>
      <c r="B175" s="1" t="s">
        <v>951</v>
      </c>
      <c r="C175" s="11" t="s">
        <v>52</v>
      </c>
      <c r="D175" s="1" t="s">
        <v>957</v>
      </c>
      <c r="E175" s="1" t="s">
        <v>625</v>
      </c>
      <c r="F175" s="1" t="str">
        <f aca="false">IF(C175="Singapore",IF(LEN(TEXT(E175,"000000"))=6,LEFT(TEXT(E175,"000000"),2),""),"")</f>
        <v>67</v>
      </c>
      <c r="H175" s="1" t="s">
        <v>87</v>
      </c>
      <c r="I175" s="1" t="s">
        <v>88</v>
      </c>
      <c r="J175" s="1" t="s">
        <v>89</v>
      </c>
      <c r="K175" s="11" t="s">
        <v>954</v>
      </c>
      <c r="L175" s="11" t="s">
        <v>59</v>
      </c>
      <c r="M175" s="1" t="n">
        <v>1.378563</v>
      </c>
      <c r="N175" s="1" t="n">
        <v>103.763835</v>
      </c>
      <c r="O175" s="11" t="s">
        <v>60</v>
      </c>
      <c r="P175" s="1" t="s">
        <v>73</v>
      </c>
      <c r="R175" s="1" t="s">
        <v>62</v>
      </c>
      <c r="AH175" s="1" t="s">
        <v>63</v>
      </c>
      <c r="AI175" s="1" t="s">
        <v>63</v>
      </c>
      <c r="AK175" s="1" t="s">
        <v>610</v>
      </c>
      <c r="AM175" s="12" t="s">
        <v>65</v>
      </c>
      <c r="AN175" s="1" t="s">
        <v>949</v>
      </c>
      <c r="AT175" s="1" t="s">
        <v>66</v>
      </c>
      <c r="AU175" s="1" t="str">
        <f aca="false">IF(OR(AT175=TRUE(),AT175="TRUE"),"This sample listing is provided solely to demonstrate the directory interface. It does not represent a live declaration, verification, endorsement or participating establishment.","")</f>
        <v/>
      </c>
      <c r="AV175" s="1" t="str">
        <f aca="false">IF(OR(A175="",B175="",C175="",D175=""),"Missing required fields",IF(NOT(AND(ISNUMBER(M175),ISNUMBER(N175))),"Missing coordinates","Complete"))</f>
        <v>Complete</v>
      </c>
      <c r="AW175" s="1" t="str">
        <f aca="false">IF(AND(ISNUMBER(M175),ISNUMBER(N175)),"Ready","Coordinates required")</f>
        <v>Ready</v>
      </c>
      <c r="AX175" s="1" t="str">
        <f aca="false">IF(OR(AT175=TRUE(),AT175="TRUE"),"Demo record",IF(A175="","Missing ID",IF(B175="","Missing name",IF(NOT(AND(ISNUMBER(M175),ISNUMBER(N175))),"Coordinates required","Ready for publication"))))</f>
        <v>Ready for publication</v>
      </c>
    </row>
    <row r="176" customFormat="false" ht="14.25" hidden="false" customHeight="true" outlineLevel="0" collapsed="false">
      <c r="A176" s="1" t="s">
        <v>958</v>
      </c>
      <c r="B176" s="1" t="s">
        <v>959</v>
      </c>
      <c r="C176" s="11" t="s">
        <v>52</v>
      </c>
      <c r="D176" s="1" t="s">
        <v>440</v>
      </c>
      <c r="E176" s="1" t="s">
        <v>441</v>
      </c>
      <c r="F176" s="1" t="str">
        <f aca="false">IF(C176="Singapore",IF(LEN(TEXT(E176,"000000"))=6,LEFT(TEXT(E176,"000000"),2),""),"")</f>
        <v>32</v>
      </c>
      <c r="H176" s="1" t="s">
        <v>55</v>
      </c>
      <c r="I176" s="1" t="s">
        <v>56</v>
      </c>
      <c r="J176" s="1" t="s">
        <v>57</v>
      </c>
      <c r="K176" s="11" t="s">
        <v>960</v>
      </c>
      <c r="L176" s="11" t="s">
        <v>59</v>
      </c>
      <c r="M176" s="1" t="n">
        <v>1.327046</v>
      </c>
      <c r="N176" s="1" t="n">
        <v>103.846316</v>
      </c>
      <c r="O176" s="11" t="s">
        <v>60</v>
      </c>
      <c r="P176" s="1" t="s">
        <v>73</v>
      </c>
      <c r="R176" s="1" t="s">
        <v>62</v>
      </c>
      <c r="AH176" s="1" t="s">
        <v>63</v>
      </c>
      <c r="AI176" s="1" t="s">
        <v>63</v>
      </c>
      <c r="AK176" s="1" t="s">
        <v>961</v>
      </c>
      <c r="AM176" s="12" t="s">
        <v>65</v>
      </c>
      <c r="AT176" s="1" t="s">
        <v>66</v>
      </c>
      <c r="AU176" s="1" t="str">
        <f aca="false">IF(OR(AT176=TRUE(),AT176="TRUE"),"This sample listing is provided solely to demonstrate the directory interface. It does not represent a live declaration, verification, endorsement or participating establishment.","")</f>
        <v/>
      </c>
      <c r="AV176" s="1" t="str">
        <f aca="false">IF(OR(A176="",B176="",C176="",D176=""),"Missing required fields",IF(NOT(AND(ISNUMBER(M176),ISNUMBER(N176))),"Missing coordinates","Complete"))</f>
        <v>Complete</v>
      </c>
      <c r="AW176" s="1" t="str">
        <f aca="false">IF(AND(ISNUMBER(M176),ISNUMBER(N176)),"Ready","Coordinates required")</f>
        <v>Ready</v>
      </c>
      <c r="AX176" s="1" t="str">
        <f aca="false">IF(OR(AT176=TRUE(),AT176="TRUE"),"Demo record",IF(A176="","Missing ID",IF(B176="","Missing name",IF(NOT(AND(ISNUMBER(M176),ISNUMBER(N176))),"Coordinates required","Ready for publication"))))</f>
        <v>Ready for publication</v>
      </c>
    </row>
    <row r="177" customFormat="false" ht="14.25" hidden="false" customHeight="true" outlineLevel="0" collapsed="false">
      <c r="A177" s="1" t="s">
        <v>962</v>
      </c>
      <c r="B177" s="1" t="s">
        <v>959</v>
      </c>
      <c r="C177" s="11" t="s">
        <v>52</v>
      </c>
      <c r="D177" s="1" t="s">
        <v>559</v>
      </c>
      <c r="E177" s="1" t="s">
        <v>560</v>
      </c>
      <c r="F177" s="1" t="str">
        <f aca="false">IF(C177="Singapore",IF(LEN(TEXT(E177,"000000"))=6,LEFT(TEXT(E177,"000000"),2),""),"")</f>
        <v>63</v>
      </c>
      <c r="H177" s="1" t="s">
        <v>253</v>
      </c>
      <c r="I177" s="1" t="s">
        <v>254</v>
      </c>
      <c r="J177" s="1" t="s">
        <v>255</v>
      </c>
      <c r="K177" s="11" t="s">
        <v>960</v>
      </c>
      <c r="L177" s="11" t="s">
        <v>59</v>
      </c>
      <c r="M177" s="1" t="n">
        <v>1.346901</v>
      </c>
      <c r="N177" s="1" t="n">
        <v>103.680206</v>
      </c>
      <c r="O177" s="11" t="s">
        <v>60</v>
      </c>
      <c r="P177" s="1" t="s">
        <v>73</v>
      </c>
      <c r="R177" s="1" t="s">
        <v>62</v>
      </c>
      <c r="AH177" s="1" t="s">
        <v>63</v>
      </c>
      <c r="AI177" s="1" t="s">
        <v>63</v>
      </c>
      <c r="AK177" s="1" t="s">
        <v>963</v>
      </c>
      <c r="AM177" s="12" t="n">
        <v>46311</v>
      </c>
      <c r="AT177" s="1" t="s">
        <v>66</v>
      </c>
      <c r="AU177" s="1" t="str">
        <f aca="false">IF(OR(AT177=TRUE(),AT177="TRUE"),"This sample listing is provided solely to demonstrate the directory interface. It does not represent a live declaration, verification, endorsement or participating establishment.","")</f>
        <v/>
      </c>
      <c r="AV177" s="1" t="str">
        <f aca="false">IF(OR(A177="",B177="",C177="",D177=""),"Missing required fields",IF(NOT(AND(ISNUMBER(M177),ISNUMBER(N177))),"Missing coordinates","Complete"))</f>
        <v>Complete</v>
      </c>
      <c r="AW177" s="1" t="str">
        <f aca="false">IF(AND(ISNUMBER(M177),ISNUMBER(N177)),"Ready","Coordinates required")</f>
        <v>Ready</v>
      </c>
      <c r="AX177" s="1" t="str">
        <f aca="false">IF(OR(AT177=TRUE(),AT177="TRUE"),"Demo record",IF(A177="","Missing ID",IF(B177="","Missing name",IF(NOT(AND(ISNUMBER(M177),ISNUMBER(N177))),"Coordinates required","Ready for publication"))))</f>
        <v>Ready for publication</v>
      </c>
    </row>
    <row r="178" customFormat="false" ht="14.25" hidden="false" customHeight="true" outlineLevel="0" collapsed="false">
      <c r="A178" s="1" t="s">
        <v>964</v>
      </c>
      <c r="B178" s="1" t="s">
        <v>959</v>
      </c>
      <c r="C178" s="11" t="s">
        <v>52</v>
      </c>
      <c r="D178" s="1" t="s">
        <v>68</v>
      </c>
      <c r="E178" s="1" t="s">
        <v>69</v>
      </c>
      <c r="F178" s="1" t="str">
        <f aca="false">IF(C178="Singapore",IF(LEN(TEXT(E178,"000000"))=6,LEFT(TEXT(E178,"000000"),2),""),"")</f>
        <v>51</v>
      </c>
      <c r="H178" s="1" t="s">
        <v>70</v>
      </c>
      <c r="I178" s="1" t="s">
        <v>71</v>
      </c>
      <c r="J178" s="1" t="s">
        <v>72</v>
      </c>
      <c r="K178" s="11" t="s">
        <v>960</v>
      </c>
      <c r="L178" s="11" t="s">
        <v>59</v>
      </c>
      <c r="M178" s="1" t="n">
        <v>1.372388</v>
      </c>
      <c r="N178" s="1" t="n">
        <v>103.949975</v>
      </c>
      <c r="O178" s="11" t="s">
        <v>60</v>
      </c>
      <c r="P178" s="1" t="s">
        <v>73</v>
      </c>
      <c r="R178" s="1" t="s">
        <v>62</v>
      </c>
      <c r="AH178" s="1" t="s">
        <v>63</v>
      </c>
      <c r="AI178" s="1" t="s">
        <v>63</v>
      </c>
      <c r="AK178" s="1" t="s">
        <v>79</v>
      </c>
      <c r="AM178" s="12" t="n">
        <v>46311</v>
      </c>
      <c r="AN178" s="1" t="s">
        <v>965</v>
      </c>
      <c r="AT178" s="1" t="s">
        <v>66</v>
      </c>
      <c r="AU178" s="1" t="str">
        <f aca="false">IF(OR(AT178=TRUE(),AT178="TRUE"),"This sample listing is provided solely to demonstrate the directory interface. It does not represent a live declaration, verification, endorsement or participating establishment.","")</f>
        <v/>
      </c>
      <c r="AV178" s="1" t="str">
        <f aca="false">IF(OR(A178="",B178="",C178="",D178=""),"Missing required fields",IF(NOT(AND(ISNUMBER(M178),ISNUMBER(N178))),"Missing coordinates","Complete"))</f>
        <v>Complete</v>
      </c>
      <c r="AW178" s="1" t="str">
        <f aca="false">IF(AND(ISNUMBER(M178),ISNUMBER(N178)),"Ready","Coordinates required")</f>
        <v>Ready</v>
      </c>
      <c r="AX178" s="1" t="str">
        <f aca="false">IF(OR(AT178=TRUE(),AT178="TRUE"),"Demo record",IF(A178="","Missing ID",IF(B178="","Missing name",IF(NOT(AND(ISNUMBER(M178),ISNUMBER(N178))),"Coordinates required","Ready for publication"))))</f>
        <v>Ready for publication</v>
      </c>
    </row>
    <row r="179" customFormat="false" ht="14.25" hidden="false" customHeight="true" outlineLevel="0" collapsed="false">
      <c r="A179" s="1" t="s">
        <v>966</v>
      </c>
      <c r="B179" s="1" t="s">
        <v>959</v>
      </c>
      <c r="C179" s="11" t="s">
        <v>52</v>
      </c>
      <c r="D179" s="1" t="s">
        <v>967</v>
      </c>
      <c r="E179" s="1" t="s">
        <v>968</v>
      </c>
      <c r="F179" s="1" t="str">
        <f aca="false">IF(C179="Singapore",IF(LEN(TEXT(E179,"000000"))=6,LEFT(TEXT(E179,"000000"),2),""),"")</f>
        <v>44</v>
      </c>
      <c r="H179" s="1" t="s">
        <v>267</v>
      </c>
      <c r="I179" s="1" t="s">
        <v>268</v>
      </c>
      <c r="J179" s="1" t="s">
        <v>269</v>
      </c>
      <c r="K179" s="11" t="s">
        <v>960</v>
      </c>
      <c r="L179" s="11" t="s">
        <v>59</v>
      </c>
      <c r="M179" s="1" t="n">
        <v>1.301718</v>
      </c>
      <c r="N179" s="1" t="n">
        <v>103.905945</v>
      </c>
      <c r="O179" s="11" t="s">
        <v>60</v>
      </c>
      <c r="P179" s="1" t="s">
        <v>73</v>
      </c>
      <c r="R179" s="1" t="s">
        <v>62</v>
      </c>
      <c r="AH179" s="1" t="s">
        <v>63</v>
      </c>
      <c r="AI179" s="1" t="s">
        <v>63</v>
      </c>
      <c r="AK179" s="1" t="s">
        <v>969</v>
      </c>
      <c r="AM179" s="12" t="s">
        <v>65</v>
      </c>
      <c r="AT179" s="1" t="s">
        <v>66</v>
      </c>
      <c r="AU179" s="1" t="str">
        <f aca="false">IF(OR(AT179=TRUE(),AT179="TRUE"),"This sample listing is provided solely to demonstrate the directory interface. It does not represent a live declaration, verification, endorsement or participating establishment.","")</f>
        <v/>
      </c>
      <c r="AV179" s="1" t="str">
        <f aca="false">IF(OR(A179="",B179="",C179="",D179=""),"Missing required fields",IF(NOT(AND(ISNUMBER(M179),ISNUMBER(N179))),"Missing coordinates","Complete"))</f>
        <v>Complete</v>
      </c>
      <c r="AW179" s="1" t="str">
        <f aca="false">IF(AND(ISNUMBER(M179),ISNUMBER(N179)),"Ready","Coordinates required")</f>
        <v>Ready</v>
      </c>
      <c r="AX179" s="1" t="str">
        <f aca="false">IF(OR(AT179=TRUE(),AT179="TRUE"),"Demo record",IF(A179="","Missing ID",IF(B179="","Missing name",IF(NOT(AND(ISNUMBER(M179),ISNUMBER(N179))),"Coordinates required","Ready for publication"))))</f>
        <v>Ready for publication</v>
      </c>
    </row>
    <row r="180" customFormat="false" ht="14.25" hidden="false" customHeight="true" outlineLevel="0" collapsed="false">
      <c r="A180" s="1" t="s">
        <v>970</v>
      </c>
      <c r="B180" s="1" t="s">
        <v>959</v>
      </c>
      <c r="C180" s="11" t="s">
        <v>52</v>
      </c>
      <c r="D180" s="1" t="s">
        <v>971</v>
      </c>
      <c r="E180" s="1" t="s">
        <v>192</v>
      </c>
      <c r="F180" s="1" t="str">
        <f aca="false">IF(C180="Singapore",IF(LEN(TEXT(E180,"000000"))=6,LEFT(TEXT(E180,"000000"),2),""),"")</f>
        <v>03</v>
      </c>
      <c r="H180" s="1" t="s">
        <v>193</v>
      </c>
      <c r="I180" s="1" t="s">
        <v>194</v>
      </c>
      <c r="J180" s="1" t="s">
        <v>195</v>
      </c>
      <c r="K180" s="11" t="s">
        <v>960</v>
      </c>
      <c r="L180" s="11" t="s">
        <v>59</v>
      </c>
      <c r="M180" s="1" t="n">
        <v>1.289907</v>
      </c>
      <c r="N180" s="1" t="n">
        <v>103.856123</v>
      </c>
      <c r="O180" s="11" t="s">
        <v>60</v>
      </c>
      <c r="P180" s="1" t="s">
        <v>73</v>
      </c>
      <c r="R180" s="1" t="s">
        <v>62</v>
      </c>
      <c r="AH180" s="1" t="s">
        <v>63</v>
      </c>
      <c r="AI180" s="1" t="s">
        <v>63</v>
      </c>
      <c r="AK180" s="1" t="s">
        <v>972</v>
      </c>
      <c r="AM180" s="12" t="n">
        <v>46311</v>
      </c>
      <c r="AT180" s="1" t="s">
        <v>66</v>
      </c>
      <c r="AU180" s="1" t="str">
        <f aca="false">IF(OR(AT180=TRUE(),AT180="TRUE"),"This sample listing is provided solely to demonstrate the directory interface. It does not represent a live declaration, verification, endorsement or participating establishment.","")</f>
        <v/>
      </c>
      <c r="AV180" s="1" t="str">
        <f aca="false">IF(OR(A180="",B180="",C180="",D180=""),"Missing required fields",IF(NOT(AND(ISNUMBER(M180),ISNUMBER(N180))),"Missing coordinates","Complete"))</f>
        <v>Complete</v>
      </c>
      <c r="AW180" s="1" t="str">
        <f aca="false">IF(AND(ISNUMBER(M180),ISNUMBER(N180)),"Ready","Coordinates required")</f>
        <v>Ready</v>
      </c>
      <c r="AX180" s="1" t="str">
        <f aca="false">IF(OR(AT180=TRUE(),AT180="TRUE"),"Demo record",IF(A180="","Missing ID",IF(B180="","Missing name",IF(NOT(AND(ISNUMBER(M180),ISNUMBER(N180))),"Coordinates required","Ready for publication"))))</f>
        <v>Ready for publication</v>
      </c>
    </row>
    <row r="181" customFormat="false" ht="14.25" hidden="false" customHeight="true" outlineLevel="0" collapsed="false">
      <c r="A181" s="1" t="s">
        <v>973</v>
      </c>
      <c r="B181" s="1" t="s">
        <v>959</v>
      </c>
      <c r="C181" s="11" t="s">
        <v>52</v>
      </c>
      <c r="D181" s="1" t="s">
        <v>974</v>
      </c>
      <c r="E181" s="1" t="s">
        <v>282</v>
      </c>
      <c r="F181" s="1" t="str">
        <f aca="false">IF(C181="Singapore",IF(LEN(TEXT(E181,"000000"))=6,LEFT(TEXT(E181,"000000"),2),""),"")</f>
        <v>05</v>
      </c>
      <c r="H181" s="1" t="s">
        <v>193</v>
      </c>
      <c r="I181" s="1" t="s">
        <v>194</v>
      </c>
      <c r="J181" s="1" t="s">
        <v>195</v>
      </c>
      <c r="K181" s="11" t="s">
        <v>960</v>
      </c>
      <c r="L181" s="11" t="s">
        <v>59</v>
      </c>
      <c r="M181" s="1" t="n">
        <v>1.285616</v>
      </c>
      <c r="N181" s="1" t="n">
        <v>103.845019</v>
      </c>
      <c r="O181" s="11" t="s">
        <v>60</v>
      </c>
      <c r="P181" s="1" t="s">
        <v>61</v>
      </c>
      <c r="R181" s="1" t="s">
        <v>62</v>
      </c>
      <c r="AH181" s="1" t="s">
        <v>63</v>
      </c>
      <c r="AI181" s="1" t="s">
        <v>63</v>
      </c>
      <c r="AK181" s="1" t="s">
        <v>975</v>
      </c>
      <c r="AM181" s="12" t="n">
        <v>46311</v>
      </c>
      <c r="AT181" s="1" t="s">
        <v>66</v>
      </c>
      <c r="AU181" s="1" t="str">
        <f aca="false">IF(OR(AT181=TRUE(),AT181="TRUE"),"This sample listing is provided solely to demonstrate the directory interface. It does not represent a live declaration, verification, endorsement or participating establishment.","")</f>
        <v/>
      </c>
      <c r="AV181" s="1" t="str">
        <f aca="false">IF(OR(A181="",B181="",C181="",D181=""),"Missing required fields",IF(NOT(AND(ISNUMBER(M181),ISNUMBER(N181))),"Missing coordinates","Complete"))</f>
        <v>Complete</v>
      </c>
      <c r="AW181" s="1" t="str">
        <f aca="false">IF(AND(ISNUMBER(M181),ISNUMBER(N181)),"Ready","Coordinates required")</f>
        <v>Ready</v>
      </c>
      <c r="AX181" s="1" t="str">
        <f aca="false">IF(OR(AT181=TRUE(),AT181="TRUE"),"Demo record",IF(A181="","Missing ID",IF(B181="","Missing name",IF(NOT(AND(ISNUMBER(M181),ISNUMBER(N181))),"Coordinates required","Ready for publication"))))</f>
        <v>Ready for publication</v>
      </c>
    </row>
    <row r="182" customFormat="false" ht="14.25" hidden="false" customHeight="true" outlineLevel="0" collapsed="false">
      <c r="A182" s="1" t="s">
        <v>976</v>
      </c>
      <c r="B182" s="1" t="s">
        <v>959</v>
      </c>
      <c r="C182" s="11" t="s">
        <v>52</v>
      </c>
      <c r="D182" s="1" t="s">
        <v>977</v>
      </c>
      <c r="E182" s="1" t="s">
        <v>978</v>
      </c>
      <c r="F182" s="1" t="str">
        <f aca="false">IF(C182="Singapore",IF(LEN(TEXT(E182,"000000"))=6,LEFT(TEXT(E182,"000000"),2),""),"")</f>
        <v>64</v>
      </c>
      <c r="H182" s="1" t="s">
        <v>253</v>
      </c>
      <c r="I182" s="1" t="s">
        <v>254</v>
      </c>
      <c r="J182" s="1" t="s">
        <v>255</v>
      </c>
      <c r="K182" s="11" t="s">
        <v>960</v>
      </c>
      <c r="L182" s="11" t="s">
        <v>59</v>
      </c>
      <c r="M182" s="1" t="n">
        <v>1.339961</v>
      </c>
      <c r="N182" s="1" t="n">
        <v>103.706317</v>
      </c>
      <c r="O182" s="11" t="s">
        <v>60</v>
      </c>
      <c r="P182" s="1" t="s">
        <v>73</v>
      </c>
      <c r="R182" s="1" t="s">
        <v>62</v>
      </c>
      <c r="AH182" s="1" t="s">
        <v>63</v>
      </c>
      <c r="AI182" s="1" t="s">
        <v>63</v>
      </c>
      <c r="AK182" s="1" t="s">
        <v>979</v>
      </c>
      <c r="AM182" s="12" t="s">
        <v>65</v>
      </c>
      <c r="AT182" s="1" t="s">
        <v>66</v>
      </c>
      <c r="AU182" s="1" t="str">
        <f aca="false">IF(OR(AT182=TRUE(),AT182="TRUE"),"This sample listing is provided solely to demonstrate the directory interface. It does not represent a live declaration, verification, endorsement or participating establishment.","")</f>
        <v/>
      </c>
      <c r="AV182" s="1" t="str">
        <f aca="false">IF(OR(A182="",B182="",C182="",D182=""),"Missing required fields",IF(NOT(AND(ISNUMBER(M182),ISNUMBER(N182))),"Missing coordinates","Complete"))</f>
        <v>Complete</v>
      </c>
      <c r="AW182" s="1" t="str">
        <f aca="false">IF(AND(ISNUMBER(M182),ISNUMBER(N182)),"Ready","Coordinates required")</f>
        <v>Ready</v>
      </c>
      <c r="AX182" s="1" t="str">
        <f aca="false">IF(OR(AT182=TRUE(),AT182="TRUE"),"Demo record",IF(A182="","Missing ID",IF(B182="","Missing name",IF(NOT(AND(ISNUMBER(M182),ISNUMBER(N182))),"Coordinates required","Ready for publication"))))</f>
        <v>Ready for publication</v>
      </c>
    </row>
    <row r="183" customFormat="false" ht="14.25" hidden="false" customHeight="true" outlineLevel="0" collapsed="false">
      <c r="A183" s="1" t="s">
        <v>980</v>
      </c>
      <c r="B183" s="1" t="s">
        <v>959</v>
      </c>
      <c r="C183" s="11" t="s">
        <v>52</v>
      </c>
      <c r="D183" s="1" t="s">
        <v>981</v>
      </c>
      <c r="F183" s="1" t="str">
        <f aca="false">IF(C183="Singapore",IF(LEN(TEXT(E183,"000000"))=6,LEFT(TEXT(E183,"000000"),2),""),"")</f>
        <v>00</v>
      </c>
      <c r="K183" s="11" t="s">
        <v>960</v>
      </c>
      <c r="L183" s="11" t="s">
        <v>59</v>
      </c>
      <c r="M183" s="1" t="n">
        <v>1.366996</v>
      </c>
      <c r="N183" s="1" t="n">
        <v>103.964659</v>
      </c>
      <c r="O183" s="11" t="s">
        <v>60</v>
      </c>
      <c r="P183" s="1" t="s">
        <v>73</v>
      </c>
      <c r="R183" s="1" t="s">
        <v>62</v>
      </c>
      <c r="AH183" s="1" t="s">
        <v>63</v>
      </c>
      <c r="AI183" s="1" t="s">
        <v>63</v>
      </c>
      <c r="AK183" s="1" t="s">
        <v>982</v>
      </c>
      <c r="AM183" s="12" t="n">
        <v>46311</v>
      </c>
      <c r="AT183" s="1" t="s">
        <v>66</v>
      </c>
      <c r="AU183" s="1" t="str">
        <f aca="false">IF(OR(AT183=TRUE(),AT183="TRUE"),"This sample listing is provided solely to demonstrate the directory interface. It does not represent a live declaration, verification, endorsement or participating establishment.","")</f>
        <v/>
      </c>
      <c r="AV183" s="1" t="str">
        <f aca="false">IF(OR(A183="",B183="",C183="",D183=""),"Missing required fields",IF(NOT(AND(ISNUMBER(M183),ISNUMBER(N183))),"Missing coordinates","Complete"))</f>
        <v>Complete</v>
      </c>
      <c r="AW183" s="1" t="str">
        <f aca="false">IF(AND(ISNUMBER(M183),ISNUMBER(N183)),"Ready","Coordinates required")</f>
        <v>Ready</v>
      </c>
      <c r="AX183" s="1" t="str">
        <f aca="false">IF(OR(AT183=TRUE(),AT183="TRUE"),"Demo record",IF(A183="","Missing ID",IF(B183="","Missing name",IF(NOT(AND(ISNUMBER(M183),ISNUMBER(N183))),"Coordinates required","Ready for publication"))))</f>
        <v>Ready for publication</v>
      </c>
    </row>
    <row r="184" customFormat="false" ht="14.25" hidden="false" customHeight="true" outlineLevel="0" collapsed="false">
      <c r="A184" s="1" t="s">
        <v>983</v>
      </c>
      <c r="B184" s="1" t="s">
        <v>984</v>
      </c>
      <c r="C184" s="11" t="s">
        <v>52</v>
      </c>
      <c r="D184" s="1" t="s">
        <v>985</v>
      </c>
      <c r="E184" s="1" t="s">
        <v>829</v>
      </c>
      <c r="F184" s="1" t="str">
        <f aca="false">IF(C184="Singapore",IF(LEN(TEXT(E184,"000000"))=6,LEFT(TEXT(E184,"000000"),2),""),"")</f>
        <v>79</v>
      </c>
      <c r="H184" s="1" t="s">
        <v>830</v>
      </c>
      <c r="I184" s="1" t="s">
        <v>831</v>
      </c>
      <c r="J184" s="1" t="s">
        <v>832</v>
      </c>
      <c r="K184" s="11" t="s">
        <v>986</v>
      </c>
      <c r="L184" s="11" t="s">
        <v>59</v>
      </c>
      <c r="M184" s="1" t="n">
        <v>1.39205</v>
      </c>
      <c r="N184" s="1" t="n">
        <v>103.875954</v>
      </c>
      <c r="O184" s="11" t="s">
        <v>60</v>
      </c>
      <c r="P184" s="1" t="s">
        <v>61</v>
      </c>
      <c r="R184" s="1" t="s">
        <v>62</v>
      </c>
      <c r="AH184" s="1" t="s">
        <v>63</v>
      </c>
      <c r="AI184" s="1" t="s">
        <v>63</v>
      </c>
      <c r="AK184" s="1" t="s">
        <v>833</v>
      </c>
      <c r="AM184" s="12" t="n">
        <v>46311</v>
      </c>
      <c r="AN184" s="1" t="s">
        <v>987</v>
      </c>
      <c r="AT184" s="1" t="s">
        <v>66</v>
      </c>
      <c r="AU184" s="1" t="str">
        <f aca="false">IF(OR(AT184=TRUE(),AT184="TRUE"),"This sample listing is provided solely to demonstrate the directory interface. It does not represent a live declaration, verification, endorsement or participating establishment.","")</f>
        <v/>
      </c>
      <c r="AV184" s="1" t="str">
        <f aca="false">IF(OR(A184="",B184="",C184="",D184=""),"Missing required fields",IF(NOT(AND(ISNUMBER(M184),ISNUMBER(N184))),"Missing coordinates","Complete"))</f>
        <v>Complete</v>
      </c>
      <c r="AW184" s="1" t="str">
        <f aca="false">IF(AND(ISNUMBER(M184),ISNUMBER(N184)),"Ready","Coordinates required")</f>
        <v>Ready</v>
      </c>
      <c r="AX184" s="1" t="str">
        <f aca="false">IF(OR(AT184=TRUE(),AT184="TRUE"),"Demo record",IF(A184="","Missing ID",IF(B184="","Missing name",IF(NOT(AND(ISNUMBER(M184),ISNUMBER(N184))),"Coordinates required","Ready for publication"))))</f>
        <v>Ready for publication</v>
      </c>
    </row>
    <row r="185" customFormat="false" ht="14.25" hidden="false" customHeight="true" outlineLevel="0" collapsed="false">
      <c r="A185" s="1" t="s">
        <v>988</v>
      </c>
      <c r="B185" s="1" t="s">
        <v>984</v>
      </c>
      <c r="C185" s="11" t="s">
        <v>52</v>
      </c>
      <c r="D185" s="1" t="s">
        <v>68</v>
      </c>
      <c r="E185" s="1" t="s">
        <v>69</v>
      </c>
      <c r="F185" s="1" t="str">
        <f aca="false">IF(C185="Singapore",IF(LEN(TEXT(E185,"000000"))=6,LEFT(TEXT(E185,"000000"),2),""),"")</f>
        <v>51</v>
      </c>
      <c r="H185" s="1" t="s">
        <v>70</v>
      </c>
      <c r="I185" s="1" t="s">
        <v>71</v>
      </c>
      <c r="J185" s="1" t="s">
        <v>72</v>
      </c>
      <c r="K185" s="11" t="s">
        <v>989</v>
      </c>
      <c r="L185" s="11" t="s">
        <v>59</v>
      </c>
      <c r="M185" s="1" t="n">
        <v>1.372261</v>
      </c>
      <c r="N185" s="1" t="n">
        <v>103.949944</v>
      </c>
      <c r="O185" s="11" t="s">
        <v>60</v>
      </c>
      <c r="P185" s="1" t="s">
        <v>73</v>
      </c>
      <c r="R185" s="1" t="s">
        <v>62</v>
      </c>
      <c r="AH185" s="1" t="s">
        <v>63</v>
      </c>
      <c r="AI185" s="1" t="s">
        <v>63</v>
      </c>
      <c r="AK185" s="1" t="s">
        <v>838</v>
      </c>
      <c r="AM185" s="12" t="n">
        <v>46311</v>
      </c>
      <c r="AN185" s="1" t="s">
        <v>987</v>
      </c>
      <c r="AT185" s="1" t="s">
        <v>66</v>
      </c>
      <c r="AU185" s="1" t="str">
        <f aca="false">IF(OR(AT185=TRUE(),AT185="TRUE"),"This sample listing is provided solely to demonstrate the directory interface. It does not represent a live declaration, verification, endorsement or participating establishment.","")</f>
        <v/>
      </c>
      <c r="AV185" s="1" t="str">
        <f aca="false">IF(OR(A185="",B185="",C185="",D185=""),"Missing required fields",IF(NOT(AND(ISNUMBER(M185),ISNUMBER(N185))),"Missing coordinates","Complete"))</f>
        <v>Complete</v>
      </c>
      <c r="AW185" s="1" t="str">
        <f aca="false">IF(AND(ISNUMBER(M185),ISNUMBER(N185)),"Ready","Coordinates required")</f>
        <v>Ready</v>
      </c>
      <c r="AX185" s="1" t="str">
        <f aca="false">IF(OR(AT185=TRUE(),AT185="TRUE"),"Demo record",IF(A185="","Missing ID",IF(B185="","Missing name",IF(NOT(AND(ISNUMBER(M185),ISNUMBER(N185))),"Coordinates required","Ready for publication"))))</f>
        <v>Ready for publication</v>
      </c>
    </row>
    <row r="186" customFormat="false" ht="14.25" hidden="false" customHeight="true" outlineLevel="0" collapsed="false">
      <c r="A186" s="1" t="s">
        <v>990</v>
      </c>
      <c r="B186" s="1" t="s">
        <v>991</v>
      </c>
      <c r="C186" s="11" t="s">
        <v>52</v>
      </c>
      <c r="D186" s="1" t="s">
        <v>992</v>
      </c>
      <c r="E186" s="1" t="s">
        <v>993</v>
      </c>
      <c r="F186" s="1" t="str">
        <f aca="false">IF(C186="Singapore",IF(LEN(TEXT(E186,"000000"))=6,LEFT(TEXT(E186,"000000"),2),""),"")</f>
        <v>03</v>
      </c>
      <c r="H186" s="1" t="s">
        <v>193</v>
      </c>
      <c r="I186" s="1" t="s">
        <v>194</v>
      </c>
      <c r="J186" s="1" t="s">
        <v>195</v>
      </c>
      <c r="K186" s="11" t="s">
        <v>414</v>
      </c>
      <c r="L186" s="11" t="s">
        <v>59</v>
      </c>
      <c r="M186" s="1" t="n">
        <v>1.291887</v>
      </c>
      <c r="N186" s="1" t="n">
        <v>103.856338</v>
      </c>
      <c r="O186" s="11" t="s">
        <v>60</v>
      </c>
      <c r="P186" s="1" t="s">
        <v>61</v>
      </c>
      <c r="R186" s="1" t="s">
        <v>62</v>
      </c>
      <c r="AH186" s="1" t="s">
        <v>63</v>
      </c>
      <c r="AI186" s="1" t="s">
        <v>63</v>
      </c>
      <c r="AK186" s="1" t="s">
        <v>994</v>
      </c>
      <c r="AM186" s="12" t="n">
        <v>46311</v>
      </c>
      <c r="AN186" s="1" t="s">
        <v>987</v>
      </c>
      <c r="AT186" s="1" t="s">
        <v>66</v>
      </c>
      <c r="AU186" s="1" t="str">
        <f aca="false">IF(OR(AT186=TRUE(),AT186="TRUE"),"This sample listing is provided solely to demonstrate the directory interface. It does not represent a live declaration, verification, endorsement or participating establishment.","")</f>
        <v/>
      </c>
      <c r="AV186" s="1" t="str">
        <f aca="false">IF(OR(A186="",B186="",C186="",D186=""),"Missing required fields",IF(NOT(AND(ISNUMBER(M186),ISNUMBER(N186))),"Missing coordinates","Complete"))</f>
        <v>Complete</v>
      </c>
      <c r="AW186" s="1" t="str">
        <f aca="false">IF(AND(ISNUMBER(M186),ISNUMBER(N186)),"Ready","Coordinates required")</f>
        <v>Ready</v>
      </c>
      <c r="AX186" s="1" t="str">
        <f aca="false">IF(OR(AT186=TRUE(),AT186="TRUE"),"Demo record",IF(A186="","Missing ID",IF(B186="","Missing name",IF(NOT(AND(ISNUMBER(M186),ISNUMBER(N186))),"Coordinates required","Ready for publication"))))</f>
        <v>Ready for publication</v>
      </c>
    </row>
    <row r="187" customFormat="false" ht="16.5" hidden="false" customHeight="true" outlineLevel="0" collapsed="false">
      <c r="A187" s="1" t="s">
        <v>995</v>
      </c>
      <c r="B187" s="1" t="s">
        <v>991</v>
      </c>
      <c r="C187" s="11" t="s">
        <v>52</v>
      </c>
      <c r="D187" s="1" t="s">
        <v>996</v>
      </c>
      <c r="F187" s="1" t="str">
        <f aca="false">IF(C187="Singapore",IF(LEN(TEXT(E187,"000000"))=6,LEFT(TEXT(E187,"000000"),2),""),"")</f>
        <v>00</v>
      </c>
      <c r="K187" s="11" t="s">
        <v>414</v>
      </c>
      <c r="L187" s="11" t="s">
        <v>59</v>
      </c>
      <c r="M187" s="1" t="n">
        <v>1.291438</v>
      </c>
      <c r="N187" s="1" t="n">
        <v>103.850192</v>
      </c>
      <c r="O187" s="11" t="s">
        <v>60</v>
      </c>
      <c r="P187" s="1" t="s">
        <v>61</v>
      </c>
      <c r="R187" s="1" t="s">
        <v>62</v>
      </c>
      <c r="AH187" s="1" t="s">
        <v>63</v>
      </c>
      <c r="AI187" s="1" t="s">
        <v>63</v>
      </c>
      <c r="AK187" s="1" t="s">
        <v>997</v>
      </c>
      <c r="AM187" s="12" t="n">
        <v>46311</v>
      </c>
      <c r="AT187" s="1" t="s">
        <v>66</v>
      </c>
      <c r="AU187" s="1" t="str">
        <f aca="false">IF(OR(AT187=TRUE(),AT187="TRUE"),"This sample listing is provided solely to demonstrate the directory interface. It does not represent a live declaration, verification, endorsement or participating establishment.","")</f>
        <v/>
      </c>
      <c r="AV187" s="1" t="str">
        <f aca="false">IF(OR(A187="",B187="",C187="",D187=""),"Missing required fields",IF(NOT(AND(ISNUMBER(M187),ISNUMBER(N187))),"Missing coordinates","Complete"))</f>
        <v>Complete</v>
      </c>
      <c r="AW187" s="1" t="str">
        <f aca="false">IF(AND(ISNUMBER(M187),ISNUMBER(N187)),"Ready","Coordinates required")</f>
        <v>Ready</v>
      </c>
      <c r="AX187" s="1" t="str">
        <f aca="false">IF(OR(AT187=TRUE(),AT187="TRUE"),"Demo record",IF(A187="","Missing ID",IF(B187="","Missing name",IF(NOT(AND(ISNUMBER(M187),ISNUMBER(N187))),"Coordinates required","Ready for publication"))))</f>
        <v>Ready for publication</v>
      </c>
    </row>
    <row r="188" customFormat="false" ht="16.5" hidden="false" customHeight="true" outlineLevel="0" collapsed="false">
      <c r="A188" s="1" t="s">
        <v>998</v>
      </c>
      <c r="B188" s="1" t="s">
        <v>999</v>
      </c>
      <c r="C188" s="11" t="s">
        <v>52</v>
      </c>
      <c r="D188" s="1" t="s">
        <v>1000</v>
      </c>
      <c r="E188" s="1" t="s">
        <v>1001</v>
      </c>
      <c r="F188" s="1" t="str">
        <f aca="false">IF(C188="Singapore",IF(LEN(TEXT(E188,"000000"))=6,LEFT(TEXT(E188,"000000"),2),""),"")</f>
        <v>18</v>
      </c>
      <c r="H188" s="1" t="s">
        <v>222</v>
      </c>
      <c r="I188" s="1" t="s">
        <v>223</v>
      </c>
      <c r="J188" s="1" t="s">
        <v>224</v>
      </c>
      <c r="K188" s="11" t="s">
        <v>1002</v>
      </c>
      <c r="L188" s="11" t="s">
        <v>59</v>
      </c>
      <c r="M188" s="1" t="n">
        <v>1.296951</v>
      </c>
      <c r="N188" s="1" t="n">
        <v>103.857699</v>
      </c>
      <c r="O188" s="11" t="s">
        <v>60</v>
      </c>
      <c r="P188" s="1" t="s">
        <v>73</v>
      </c>
      <c r="R188" s="1" t="s">
        <v>62</v>
      </c>
      <c r="AH188" s="1" t="s">
        <v>63</v>
      </c>
      <c r="AI188" s="1" t="s">
        <v>63</v>
      </c>
      <c r="AK188" s="1" t="s">
        <v>1003</v>
      </c>
      <c r="AM188" s="12" t="n">
        <v>46311</v>
      </c>
      <c r="AT188" s="1" t="s">
        <v>66</v>
      </c>
      <c r="AU188" s="1" t="str">
        <f aca="false">IF(OR(AT188=TRUE(),AT188="TRUE"),"This sample listing is provided solely to demonstrate the directory interface. It does not represent a live declaration, verification, endorsement or participating establishment.","")</f>
        <v/>
      </c>
      <c r="AV188" s="1" t="str">
        <f aca="false">IF(OR(A188="",B188="",C188="",D188=""),"Missing required fields",IF(NOT(AND(ISNUMBER(M188),ISNUMBER(N188))),"Missing coordinates","Complete"))</f>
        <v>Complete</v>
      </c>
      <c r="AW188" s="1" t="str">
        <f aca="false">IF(AND(ISNUMBER(M188),ISNUMBER(N188)),"Ready","Coordinates required")</f>
        <v>Ready</v>
      </c>
      <c r="AX188" s="1" t="str">
        <f aca="false">IF(OR(AT188=TRUE(),AT188="TRUE"),"Demo record",IF(A188="","Missing ID",IF(B188="","Missing name",IF(NOT(AND(ISNUMBER(M188),ISNUMBER(N188))),"Coordinates required","Ready for publication"))))</f>
        <v>Ready for publication</v>
      </c>
    </row>
    <row r="189" customFormat="false" ht="14.25" hidden="false" customHeight="true" outlineLevel="0" collapsed="false">
      <c r="A189" s="1" t="s">
        <v>1004</v>
      </c>
      <c r="B189" s="1" t="s">
        <v>1005</v>
      </c>
      <c r="C189" s="11" t="s">
        <v>52</v>
      </c>
      <c r="D189" s="1" t="s">
        <v>68</v>
      </c>
      <c r="E189" s="1" t="s">
        <v>69</v>
      </c>
      <c r="F189" s="1" t="str">
        <f aca="false">IF(C189="Singapore",IF(LEN(TEXT(E189,"000000"))=6,LEFT(TEXT(E189,"000000"),2),""),"")</f>
        <v>51</v>
      </c>
      <c r="H189" s="1" t="s">
        <v>70</v>
      </c>
      <c r="I189" s="1" t="s">
        <v>71</v>
      </c>
      <c r="J189" s="1" t="s">
        <v>72</v>
      </c>
      <c r="K189" s="11" t="s">
        <v>485</v>
      </c>
      <c r="L189" s="11" t="s">
        <v>59</v>
      </c>
      <c r="M189" s="1" t="n">
        <v>1.372421</v>
      </c>
      <c r="N189" s="1" t="n">
        <v>103.94969</v>
      </c>
      <c r="O189" s="11" t="s">
        <v>60</v>
      </c>
      <c r="P189" s="1" t="s">
        <v>73</v>
      </c>
      <c r="R189" s="1" t="s">
        <v>62</v>
      </c>
      <c r="AH189" s="1" t="s">
        <v>63</v>
      </c>
      <c r="AI189" s="1" t="s">
        <v>63</v>
      </c>
      <c r="AK189" s="1" t="s">
        <v>838</v>
      </c>
      <c r="AM189" s="12" t="n">
        <v>46311</v>
      </c>
      <c r="AN189" s="1" t="s">
        <v>1006</v>
      </c>
      <c r="AT189" s="1" t="s">
        <v>66</v>
      </c>
      <c r="AU189" s="1" t="str">
        <f aca="false">IF(OR(AT189=TRUE(),AT189="TRUE"),"This sample listing is provided solely to demonstrate the directory interface. It does not represent a live declaration, verification, endorsement or participating establishment.","")</f>
        <v/>
      </c>
      <c r="AV189" s="1" t="str">
        <f aca="false">IF(OR(A189="",B189="",C189="",D189=""),"Missing required fields",IF(NOT(AND(ISNUMBER(M189),ISNUMBER(N189))),"Missing coordinates","Complete"))</f>
        <v>Complete</v>
      </c>
      <c r="AW189" s="1" t="str">
        <f aca="false">IF(AND(ISNUMBER(M189),ISNUMBER(N189)),"Ready","Coordinates required")</f>
        <v>Ready</v>
      </c>
      <c r="AX189" s="1" t="str">
        <f aca="false">IF(OR(AT189=TRUE(),AT189="TRUE"),"Demo record",IF(A189="","Missing ID",IF(B189="","Missing name",IF(NOT(AND(ISNUMBER(M189),ISNUMBER(N189))),"Coordinates required","Ready for publication"))))</f>
        <v>Ready for publication</v>
      </c>
    </row>
    <row r="190" customFormat="false" ht="14.25" hidden="false" customHeight="true" outlineLevel="0" collapsed="false">
      <c r="A190" s="1" t="s">
        <v>1007</v>
      </c>
      <c r="B190" s="1" t="s">
        <v>1008</v>
      </c>
      <c r="C190" s="11" t="s">
        <v>52</v>
      </c>
      <c r="D190" s="1" t="s">
        <v>1009</v>
      </c>
      <c r="F190" s="1" t="str">
        <f aca="false">IF(C190="Singapore",IF(LEN(TEXT(E190,"000000"))=6,LEFT(TEXT(E190,"000000"),2),""),"")</f>
        <v>00</v>
      </c>
      <c r="K190" s="11"/>
      <c r="L190" s="11" t="s">
        <v>59</v>
      </c>
      <c r="M190" s="1" t="n">
        <v>1.333967</v>
      </c>
      <c r="N190" s="1" t="n">
        <v>103.746882</v>
      </c>
      <c r="O190" s="11" t="s">
        <v>60</v>
      </c>
      <c r="P190" s="1" t="s">
        <v>73</v>
      </c>
      <c r="R190" s="1" t="s">
        <v>62</v>
      </c>
      <c r="AH190" s="1" t="s">
        <v>63</v>
      </c>
      <c r="AI190" s="1" t="s">
        <v>63</v>
      </c>
      <c r="AK190" s="1" t="s">
        <v>202</v>
      </c>
      <c r="AM190" s="12" t="n">
        <v>46311</v>
      </c>
      <c r="AT190" s="1" t="s">
        <v>66</v>
      </c>
      <c r="AU190" s="1" t="str">
        <f aca="false">IF(OR(AT190=TRUE(),AT190="TRUE"),"This sample listing is provided solely to demonstrate the directory interface. It does not represent a live declaration, verification, endorsement or participating establishment.","")</f>
        <v/>
      </c>
      <c r="AV190" s="1" t="str">
        <f aca="false">IF(OR(A190="",B190="",C190="",D190=""),"Missing required fields",IF(NOT(AND(ISNUMBER(M190),ISNUMBER(N190))),"Missing coordinates","Complete"))</f>
        <v>Complete</v>
      </c>
      <c r="AW190" s="1" t="str">
        <f aca="false">IF(AND(ISNUMBER(M190),ISNUMBER(N190)),"Ready","Coordinates required")</f>
        <v>Ready</v>
      </c>
      <c r="AX190" s="1" t="str">
        <f aca="false">IF(OR(AT190=TRUE(),AT190="TRUE"),"Demo record",IF(A190="","Missing ID",IF(B190="","Missing name",IF(NOT(AND(ISNUMBER(M190),ISNUMBER(N190))),"Coordinates required","Ready for publication"))))</f>
        <v>Ready for publication</v>
      </c>
    </row>
    <row r="191" customFormat="false" ht="14.25" hidden="false" customHeight="true" outlineLevel="0" collapsed="false">
      <c r="A191" s="1" t="s">
        <v>1010</v>
      </c>
      <c r="B191" s="1" t="s">
        <v>1011</v>
      </c>
      <c r="C191" s="11" t="s">
        <v>52</v>
      </c>
      <c r="D191" s="1" t="s">
        <v>1012</v>
      </c>
      <c r="E191" s="1" t="s">
        <v>1013</v>
      </c>
      <c r="F191" s="1" t="str">
        <f aca="false">IF(C191="Singapore",IF(LEN(TEXT(E191,"000000"))=6,LEFT(TEXT(E191,"000000"),2),""),"")</f>
        <v>18</v>
      </c>
      <c r="H191" s="1" t="s">
        <v>222</v>
      </c>
      <c r="I191" s="1" t="s">
        <v>223</v>
      </c>
      <c r="J191" s="1" t="s">
        <v>224</v>
      </c>
      <c r="K191" s="11"/>
      <c r="L191" s="11" t="s">
        <v>197</v>
      </c>
      <c r="M191" s="1" t="n">
        <v>1.300284</v>
      </c>
      <c r="N191" s="1" t="n">
        <v>103.852079</v>
      </c>
      <c r="O191" s="11" t="s">
        <v>60</v>
      </c>
      <c r="P191" s="1" t="s">
        <v>73</v>
      </c>
      <c r="R191" s="1" t="s">
        <v>62</v>
      </c>
      <c r="AH191" s="1" t="s">
        <v>63</v>
      </c>
      <c r="AI191" s="1" t="s">
        <v>63</v>
      </c>
      <c r="AK191" s="1" t="s">
        <v>1014</v>
      </c>
      <c r="AM191" s="12" t="s">
        <v>65</v>
      </c>
      <c r="AT191" s="1" t="s">
        <v>66</v>
      </c>
      <c r="AU191" s="1" t="str">
        <f aca="false">IF(OR(AT191=TRUE(),AT191="TRUE"),"This sample listing is provided solely to demonstrate the directory interface. It does not represent a live declaration, verification, endorsement or participating establishment.","")</f>
        <v/>
      </c>
      <c r="AV191" s="1" t="str">
        <f aca="false">IF(OR(A191="",B191="",C191="",D191=""),"Missing required fields",IF(NOT(AND(ISNUMBER(M191),ISNUMBER(N191))),"Missing coordinates","Complete"))</f>
        <v>Complete</v>
      </c>
      <c r="AW191" s="1" t="str">
        <f aca="false">IF(AND(ISNUMBER(M191),ISNUMBER(N191)),"Ready","Coordinates required")</f>
        <v>Ready</v>
      </c>
      <c r="AX191" s="1" t="str">
        <f aca="false">IF(OR(AT191=TRUE(),AT191="TRUE"),"Demo record",IF(A191="","Missing ID",IF(B191="","Missing name",IF(NOT(AND(ISNUMBER(M191),ISNUMBER(N191))),"Coordinates required","Ready for publication"))))</f>
        <v>Ready for publication</v>
      </c>
    </row>
    <row r="192" customFormat="false" ht="14.25" hidden="false" customHeight="true" outlineLevel="0" collapsed="false">
      <c r="A192" s="1" t="s">
        <v>1015</v>
      </c>
      <c r="B192" s="1" t="s">
        <v>1016</v>
      </c>
      <c r="C192" s="11" t="s">
        <v>52</v>
      </c>
      <c r="D192" s="1" t="s">
        <v>1017</v>
      </c>
      <c r="F192" s="1" t="str">
        <f aca="false">IF(C192="Singapore",IF(LEN(TEXT(E192,"000000"))=6,LEFT(TEXT(E192,"000000"),2),""),"")</f>
        <v>00</v>
      </c>
      <c r="K192" s="11" t="s">
        <v>1018</v>
      </c>
      <c r="L192" s="11" t="s">
        <v>59</v>
      </c>
      <c r="M192" s="1" t="n">
        <v>1.297019</v>
      </c>
      <c r="N192" s="1" t="n">
        <v>103.852483</v>
      </c>
      <c r="O192" s="11" t="s">
        <v>60</v>
      </c>
      <c r="P192" s="1" t="s">
        <v>61</v>
      </c>
      <c r="R192" s="1" t="s">
        <v>62</v>
      </c>
      <c r="AH192" s="1" t="s">
        <v>63</v>
      </c>
      <c r="AI192" s="1" t="s">
        <v>63</v>
      </c>
      <c r="AK192" s="1" t="s">
        <v>1019</v>
      </c>
      <c r="AM192" s="12" t="n">
        <v>46311</v>
      </c>
      <c r="AT192" s="1" t="s">
        <v>66</v>
      </c>
      <c r="AU192" s="1" t="str">
        <f aca="false">IF(OR(AT192=TRUE(),AT192="TRUE"),"This sample listing is provided solely to demonstrate the directory interface. It does not represent a live declaration, verification, endorsement or participating establishment.","")</f>
        <v/>
      </c>
      <c r="AV192" s="1" t="str">
        <f aca="false">IF(OR(A192="",B192="",C192="",D192=""),"Missing required fields",IF(NOT(AND(ISNUMBER(M192),ISNUMBER(N192))),"Missing coordinates","Complete"))</f>
        <v>Complete</v>
      </c>
      <c r="AW192" s="1" t="str">
        <f aca="false">IF(AND(ISNUMBER(M192),ISNUMBER(N192)),"Ready","Coordinates required")</f>
        <v>Ready</v>
      </c>
      <c r="AX192" s="1" t="str">
        <f aca="false">IF(OR(AT192=TRUE(),AT192="TRUE"),"Demo record",IF(A192="","Missing ID",IF(B192="","Missing name",IF(NOT(AND(ISNUMBER(M192),ISNUMBER(N192))),"Coordinates required","Ready for publication"))))</f>
        <v>Ready for publication</v>
      </c>
    </row>
    <row r="193" customFormat="false" ht="14.25" hidden="false" customHeight="true" outlineLevel="0" collapsed="false">
      <c r="A193" s="1" t="s">
        <v>1020</v>
      </c>
      <c r="B193" s="1" t="s">
        <v>1021</v>
      </c>
      <c r="C193" s="11" t="s">
        <v>52</v>
      </c>
      <c r="D193" s="1" t="s">
        <v>1022</v>
      </c>
      <c r="E193" s="1" t="s">
        <v>1023</v>
      </c>
      <c r="F193" s="1" t="str">
        <f aca="false">IF(C193="Singapore",IF(LEN(TEXT(E193,"000000"))=6,LEFT(TEXT(E193,"000000"),2),""),"")</f>
        <v>79</v>
      </c>
      <c r="H193" s="1" t="s">
        <v>830</v>
      </c>
      <c r="I193" s="1" t="s">
        <v>831</v>
      </c>
      <c r="J193" s="1" t="s">
        <v>832</v>
      </c>
      <c r="K193" s="11"/>
      <c r="L193" s="11" t="s">
        <v>59</v>
      </c>
      <c r="M193" s="1" t="n">
        <v>1.397727</v>
      </c>
      <c r="N193" s="1" t="n">
        <v>103.873349</v>
      </c>
      <c r="O193" s="11" t="s">
        <v>60</v>
      </c>
      <c r="P193" s="1" t="s">
        <v>61</v>
      </c>
      <c r="R193" s="1" t="s">
        <v>62</v>
      </c>
      <c r="AH193" s="1" t="s">
        <v>63</v>
      </c>
      <c r="AI193" s="1" t="s">
        <v>63</v>
      </c>
      <c r="AK193" s="1" t="s">
        <v>1024</v>
      </c>
      <c r="AM193" s="12" t="n">
        <v>46311</v>
      </c>
      <c r="AT193" s="1" t="s">
        <v>66</v>
      </c>
      <c r="AU193" s="1" t="str">
        <f aca="false">IF(OR(AT193=TRUE(),AT193="TRUE"),"This sample listing is provided solely to demonstrate the directory interface. It does not represent a live declaration, verification, endorsement or participating establishment.","")</f>
        <v/>
      </c>
      <c r="AV193" s="1" t="str">
        <f aca="false">IF(OR(A193="",B193="",C193="",D193=""),"Missing required fields",IF(NOT(AND(ISNUMBER(M193),ISNUMBER(N193))),"Missing coordinates","Complete"))</f>
        <v>Complete</v>
      </c>
      <c r="AW193" s="1" t="str">
        <f aca="false">IF(AND(ISNUMBER(M193),ISNUMBER(N193)),"Ready","Coordinates required")</f>
        <v>Ready</v>
      </c>
      <c r="AX193" s="1" t="str">
        <f aca="false">IF(OR(AT193=TRUE(),AT193="TRUE"),"Demo record",IF(A193="","Missing ID",IF(B193="","Missing name",IF(NOT(AND(ISNUMBER(M193),ISNUMBER(N193))),"Coordinates required","Ready for publication"))))</f>
        <v>Ready for publication</v>
      </c>
    </row>
    <row r="194" customFormat="false" ht="14.25" hidden="false" customHeight="true" outlineLevel="0" collapsed="false">
      <c r="A194" s="1" t="s">
        <v>1025</v>
      </c>
      <c r="B194" s="1" t="s">
        <v>1026</v>
      </c>
      <c r="C194" s="11" t="s">
        <v>52</v>
      </c>
      <c r="D194" s="1" t="s">
        <v>77</v>
      </c>
      <c r="E194" s="1" t="s">
        <v>78</v>
      </c>
      <c r="F194" s="1" t="str">
        <f aca="false">IF(C194="Singapore",IF(LEN(TEXT(E194,"000000"))=6,LEFT(TEXT(E194,"000000"),2),""),"")</f>
        <v>51</v>
      </c>
      <c r="H194" s="1" t="s">
        <v>70</v>
      </c>
      <c r="I194" s="1" t="s">
        <v>71</v>
      </c>
      <c r="J194" s="1" t="s">
        <v>72</v>
      </c>
      <c r="K194" s="11" t="s">
        <v>241</v>
      </c>
      <c r="L194" s="11" t="s">
        <v>59</v>
      </c>
      <c r="M194" s="1" t="n">
        <v>1.373953</v>
      </c>
      <c r="N194" s="1" t="n">
        <v>103.948462</v>
      </c>
      <c r="O194" s="11" t="s">
        <v>60</v>
      </c>
      <c r="P194" s="1" t="s">
        <v>73</v>
      </c>
      <c r="R194" s="1" t="s">
        <v>62</v>
      </c>
      <c r="AH194" s="1" t="s">
        <v>63</v>
      </c>
      <c r="AI194" s="1" t="s">
        <v>63</v>
      </c>
      <c r="AK194" s="1" t="s">
        <v>79</v>
      </c>
      <c r="AM194" s="12" t="n">
        <v>46311</v>
      </c>
      <c r="AN194" s="1" t="s">
        <v>1027</v>
      </c>
      <c r="AT194" s="1" t="s">
        <v>66</v>
      </c>
      <c r="AU194" s="1" t="str">
        <f aca="false">IF(OR(AT194=TRUE(),AT194="TRUE"),"This sample listing is provided solely to demonstrate the directory interface. It does not represent a live declaration, verification, endorsement or participating establishment.","")</f>
        <v/>
      </c>
      <c r="AV194" s="1" t="str">
        <f aca="false">IF(OR(A194="",B194="",C194="",D194=""),"Missing required fields",IF(NOT(AND(ISNUMBER(M194),ISNUMBER(N194))),"Missing coordinates","Complete"))</f>
        <v>Complete</v>
      </c>
      <c r="AW194" s="1" t="str">
        <f aca="false">IF(AND(ISNUMBER(M194),ISNUMBER(N194)),"Ready","Coordinates required")</f>
        <v>Ready</v>
      </c>
      <c r="AX194" s="1" t="str">
        <f aca="false">IF(OR(AT194=TRUE(),AT194="TRUE"),"Demo record",IF(A194="","Missing ID",IF(B194="","Missing name",IF(NOT(AND(ISNUMBER(M194),ISNUMBER(N194))),"Coordinates required","Ready for publication"))))</f>
        <v>Ready for publication</v>
      </c>
    </row>
    <row r="195" customFormat="false" ht="14.25" hidden="false" customHeight="true" outlineLevel="0" collapsed="false">
      <c r="A195" s="1" t="s">
        <v>1028</v>
      </c>
      <c r="B195" s="1" t="s">
        <v>1029</v>
      </c>
      <c r="C195" s="11" t="s">
        <v>52</v>
      </c>
      <c r="D195" s="1" t="s">
        <v>68</v>
      </c>
      <c r="E195" s="1" t="s">
        <v>69</v>
      </c>
      <c r="F195" s="1" t="str">
        <f aca="false">IF(C195="Singapore",IF(LEN(TEXT(E195,"000000"))=6,LEFT(TEXT(E195,"000000"),2),""),"")</f>
        <v>51</v>
      </c>
      <c r="H195" s="1" t="s">
        <v>70</v>
      </c>
      <c r="I195" s="1" t="s">
        <v>71</v>
      </c>
      <c r="J195" s="1" t="s">
        <v>72</v>
      </c>
      <c r="K195" s="11" t="s">
        <v>589</v>
      </c>
      <c r="L195" s="11" t="s">
        <v>59</v>
      </c>
      <c r="M195" s="1" t="n">
        <v>1.372346</v>
      </c>
      <c r="N195" s="1" t="n">
        <v>103.949413</v>
      </c>
      <c r="O195" s="11" t="s">
        <v>60</v>
      </c>
      <c r="P195" s="1" t="s">
        <v>73</v>
      </c>
      <c r="R195" s="1" t="s">
        <v>62</v>
      </c>
      <c r="AH195" s="1" t="s">
        <v>63</v>
      </c>
      <c r="AI195" s="1" t="s">
        <v>63</v>
      </c>
      <c r="AK195" s="1" t="s">
        <v>838</v>
      </c>
      <c r="AM195" s="12" t="n">
        <v>46311</v>
      </c>
      <c r="AN195" s="1" t="s">
        <v>1030</v>
      </c>
      <c r="AT195" s="1" t="s">
        <v>66</v>
      </c>
      <c r="AU195" s="1" t="str">
        <f aca="false">IF(OR(AT195=TRUE(),AT195="TRUE"),"This sample listing is provided solely to demonstrate the directory interface. It does not represent a live declaration, verification, endorsement or participating establishment.","")</f>
        <v/>
      </c>
      <c r="AV195" s="1" t="str">
        <f aca="false">IF(OR(A195="",B195="",C195="",D195=""),"Missing required fields",IF(NOT(AND(ISNUMBER(M195),ISNUMBER(N195))),"Missing coordinates","Complete"))</f>
        <v>Complete</v>
      </c>
      <c r="AW195" s="1" t="str">
        <f aca="false">IF(AND(ISNUMBER(M195),ISNUMBER(N195)),"Ready","Coordinates required")</f>
        <v>Ready</v>
      </c>
      <c r="AX195" s="1" t="str">
        <f aca="false">IF(OR(AT195=TRUE(),AT195="TRUE"),"Demo record",IF(A195="","Missing ID",IF(B195="","Missing name",IF(NOT(AND(ISNUMBER(M195),ISNUMBER(N195))),"Coordinates required","Ready for publication"))))</f>
        <v>Ready for publication</v>
      </c>
    </row>
    <row r="196" customFormat="false" ht="14.25" hidden="false" customHeight="true" outlineLevel="0" collapsed="false">
      <c r="A196" s="1" t="s">
        <v>1031</v>
      </c>
      <c r="B196" s="1" t="s">
        <v>1032</v>
      </c>
      <c r="C196" s="11" t="s">
        <v>52</v>
      </c>
      <c r="D196" s="1" t="s">
        <v>1033</v>
      </c>
      <c r="E196" s="1" t="s">
        <v>1034</v>
      </c>
      <c r="F196" s="1" t="str">
        <f aca="false">IF(C196="Singapore",IF(LEN(TEXT(E196,"000000"))=6,LEFT(TEXT(E196,"000000"),2),""),"")</f>
        <v>18</v>
      </c>
      <c r="H196" s="1" t="s">
        <v>222</v>
      </c>
      <c r="I196" s="1" t="s">
        <v>223</v>
      </c>
      <c r="J196" s="1" t="s">
        <v>224</v>
      </c>
      <c r="K196" s="11"/>
      <c r="L196" s="11" t="s">
        <v>247</v>
      </c>
      <c r="M196" s="1" t="n">
        <v>1.30111</v>
      </c>
      <c r="N196" s="1" t="n">
        <v>103.85876</v>
      </c>
      <c r="O196" s="11" t="s">
        <v>60</v>
      </c>
      <c r="P196" s="1" t="s">
        <v>73</v>
      </c>
      <c r="R196" s="1" t="s">
        <v>62</v>
      </c>
      <c r="AH196" s="1" t="s">
        <v>63</v>
      </c>
      <c r="AI196" s="1" t="s">
        <v>63</v>
      </c>
      <c r="AK196" s="1" t="s">
        <v>1035</v>
      </c>
      <c r="AM196" s="12" t="n">
        <v>46311</v>
      </c>
      <c r="AT196" s="1" t="s">
        <v>66</v>
      </c>
      <c r="AU196" s="1" t="str">
        <f aca="false">IF(OR(AT196=TRUE(),AT196="TRUE"),"This sample listing is provided solely to demonstrate the directory interface. It does not represent a live declaration, verification, endorsement or participating establishment.","")</f>
        <v/>
      </c>
      <c r="AV196" s="1" t="str">
        <f aca="false">IF(OR(A196="",B196="",C196="",D196=""),"Missing required fields",IF(NOT(AND(ISNUMBER(M196),ISNUMBER(N196))),"Missing coordinates","Complete"))</f>
        <v>Complete</v>
      </c>
      <c r="AW196" s="1" t="str">
        <f aca="false">IF(AND(ISNUMBER(M196),ISNUMBER(N196)),"Ready","Coordinates required")</f>
        <v>Ready</v>
      </c>
      <c r="AX196" s="1" t="str">
        <f aca="false">IF(OR(AT196=TRUE(),AT196="TRUE"),"Demo record",IF(A196="","Missing ID",IF(B196="","Missing name",IF(NOT(AND(ISNUMBER(M196),ISNUMBER(N196))),"Coordinates required","Ready for publication"))))</f>
        <v>Ready for publication</v>
      </c>
    </row>
    <row r="197" customFormat="false" ht="14.25" hidden="false" customHeight="true" outlineLevel="0" collapsed="false">
      <c r="A197" s="1" t="s">
        <v>1036</v>
      </c>
      <c r="B197" s="1" t="s">
        <v>1037</v>
      </c>
      <c r="C197" s="11" t="s">
        <v>52</v>
      </c>
      <c r="D197" s="1" t="s">
        <v>1038</v>
      </c>
      <c r="E197" s="1" t="s">
        <v>1039</v>
      </c>
      <c r="F197" s="1" t="str">
        <f aca="false">IF(C197="Singapore",IF(LEN(TEXT(E197,"000000"))=6,LEFT(TEXT(E197,"000000"),2),""),"")</f>
        <v>25</v>
      </c>
      <c r="H197" s="1" t="s">
        <v>565</v>
      </c>
      <c r="I197" s="1" t="s">
        <v>566</v>
      </c>
      <c r="J197" s="1" t="s">
        <v>567</v>
      </c>
      <c r="K197" s="11"/>
      <c r="L197" s="11" t="s">
        <v>59</v>
      </c>
      <c r="M197" s="1" t="n">
        <v>1.311361</v>
      </c>
      <c r="N197" s="1" t="n">
        <v>103.814987</v>
      </c>
      <c r="O197" s="11" t="s">
        <v>60</v>
      </c>
      <c r="P197" s="1" t="s">
        <v>61</v>
      </c>
      <c r="R197" s="1" t="s">
        <v>62</v>
      </c>
      <c r="AH197" s="1" t="s">
        <v>63</v>
      </c>
      <c r="AI197" s="1" t="s">
        <v>63</v>
      </c>
      <c r="AK197" s="1" t="s">
        <v>1040</v>
      </c>
      <c r="AM197" s="12" t="n">
        <v>46311</v>
      </c>
      <c r="AN197" s="1" t="s">
        <v>1041</v>
      </c>
      <c r="AT197" s="1" t="s">
        <v>66</v>
      </c>
      <c r="AU197" s="1" t="str">
        <f aca="false">IF(OR(AT197=TRUE(),AT197="TRUE"),"This sample listing is provided solely to demonstrate the directory interface. It does not represent a live declaration, verification, endorsement or participating establishment.","")</f>
        <v/>
      </c>
      <c r="AV197" s="1" t="str">
        <f aca="false">IF(OR(A197="",B197="",C197="",D197=""),"Missing required fields",IF(NOT(AND(ISNUMBER(M197),ISNUMBER(N197))),"Missing coordinates","Complete"))</f>
        <v>Complete</v>
      </c>
      <c r="AW197" s="1" t="str">
        <f aca="false">IF(AND(ISNUMBER(M197),ISNUMBER(N197)),"Ready","Coordinates required")</f>
        <v>Ready</v>
      </c>
      <c r="AX197" s="1" t="str">
        <f aca="false">IF(OR(AT197=TRUE(),AT197="TRUE"),"Demo record",IF(A197="","Missing ID",IF(B197="","Missing name",IF(NOT(AND(ISNUMBER(M197),ISNUMBER(N197))),"Coordinates required","Ready for publication"))))</f>
        <v>Ready for publication</v>
      </c>
    </row>
    <row r="198" customFormat="false" ht="14.25" hidden="false" customHeight="true" outlineLevel="0" collapsed="false">
      <c r="A198" s="1" t="s">
        <v>1042</v>
      </c>
      <c r="B198" s="1" t="s">
        <v>1043</v>
      </c>
      <c r="C198" s="11" t="s">
        <v>52</v>
      </c>
      <c r="D198" s="1" t="s">
        <v>1044</v>
      </c>
      <c r="E198" s="1" t="s">
        <v>1045</v>
      </c>
      <c r="F198" s="1" t="str">
        <f aca="false">IF(C198="Singapore",IF(LEN(TEXT(E198,"000000"))=6,LEFT(TEXT(E198,"000000"),2),""),"")</f>
        <v>19</v>
      </c>
      <c r="H198" s="1" t="s">
        <v>222</v>
      </c>
      <c r="I198" s="1" t="s">
        <v>223</v>
      </c>
      <c r="J198" s="1" t="s">
        <v>224</v>
      </c>
      <c r="K198" s="11"/>
      <c r="L198" s="11" t="s">
        <v>59</v>
      </c>
      <c r="M198" s="1" t="n">
        <v>1.300943</v>
      </c>
      <c r="N198" s="1" t="n">
        <v>103.859982</v>
      </c>
      <c r="O198" s="11" t="s">
        <v>60</v>
      </c>
      <c r="P198" s="1" t="s">
        <v>61</v>
      </c>
      <c r="R198" s="1" t="s">
        <v>62</v>
      </c>
      <c r="AH198" s="1" t="s">
        <v>63</v>
      </c>
      <c r="AI198" s="1" t="s">
        <v>63</v>
      </c>
      <c r="AK198" s="1" t="s">
        <v>1046</v>
      </c>
      <c r="AM198" s="12" t="s">
        <v>65</v>
      </c>
      <c r="AT198" s="1" t="s">
        <v>66</v>
      </c>
      <c r="AU198" s="1" t="str">
        <f aca="false">IF(OR(AT198=TRUE(),AT198="TRUE"),"This sample listing is provided solely to demonstrate the directory interface. It does not represent a live declaration, verification, endorsement or participating establishment.","")</f>
        <v/>
      </c>
      <c r="AV198" s="1" t="str">
        <f aca="false">IF(OR(A198="",B198="",C198="",D198=""),"Missing required fields",IF(NOT(AND(ISNUMBER(M198),ISNUMBER(N198))),"Missing coordinates","Complete"))</f>
        <v>Complete</v>
      </c>
      <c r="AW198" s="1" t="str">
        <f aca="false">IF(AND(ISNUMBER(M198),ISNUMBER(N198)),"Ready","Coordinates required")</f>
        <v>Ready</v>
      </c>
      <c r="AX198" s="1" t="str">
        <f aca="false">IF(OR(AT198=TRUE(),AT198="TRUE"),"Demo record",IF(A198="","Missing ID",IF(B198="","Missing name",IF(NOT(AND(ISNUMBER(M198),ISNUMBER(N198))),"Coordinates required","Ready for publication"))))</f>
        <v>Ready for publication</v>
      </c>
    </row>
    <row r="199" customFormat="false" ht="14.25" hidden="false" customHeight="true" outlineLevel="0" collapsed="false">
      <c r="A199" s="1" t="s">
        <v>1047</v>
      </c>
      <c r="B199" s="1" t="s">
        <v>1043</v>
      </c>
      <c r="C199" s="11" t="s">
        <v>52</v>
      </c>
      <c r="D199" s="1" t="s">
        <v>1048</v>
      </c>
      <c r="E199" s="1" t="s">
        <v>1049</v>
      </c>
      <c r="F199" s="1" t="str">
        <f aca="false">IF(C199="Singapore",IF(LEN(TEXT(E199,"000000"))=6,LEFT(TEXT(E199,"000000"),2),""),"")</f>
        <v>20</v>
      </c>
      <c r="H199" s="1" t="s">
        <v>338</v>
      </c>
      <c r="I199" s="1" t="s">
        <v>339</v>
      </c>
      <c r="J199" s="1" t="s">
        <v>340</v>
      </c>
      <c r="K199" s="11" t="s">
        <v>90</v>
      </c>
      <c r="L199" s="11" t="s">
        <v>59</v>
      </c>
      <c r="M199" s="1" t="n">
        <v>1.304639</v>
      </c>
      <c r="N199" s="1" t="n">
        <v>103.854104</v>
      </c>
      <c r="O199" s="11" t="s">
        <v>60</v>
      </c>
      <c r="P199" s="1" t="s">
        <v>73</v>
      </c>
      <c r="R199" s="1" t="s">
        <v>62</v>
      </c>
      <c r="AH199" s="1" t="s">
        <v>63</v>
      </c>
      <c r="AI199" s="1" t="s">
        <v>63</v>
      </c>
      <c r="AK199" s="1" t="s">
        <v>1050</v>
      </c>
      <c r="AM199" s="12" t="s">
        <v>65</v>
      </c>
      <c r="AN199" s="1" t="s">
        <v>1051</v>
      </c>
      <c r="AT199" s="1" t="s">
        <v>66</v>
      </c>
      <c r="AU199" s="1" t="str">
        <f aca="false">IF(OR(AT199=TRUE(),AT199="TRUE"),"This sample listing is provided solely to demonstrate the directory interface. It does not represent a live declaration, verification, endorsement or participating establishment.","")</f>
        <v/>
      </c>
      <c r="AV199" s="1" t="str">
        <f aca="false">IF(OR(A199="",B199="",C199="",D199=""),"Missing required fields",IF(NOT(AND(ISNUMBER(M199),ISNUMBER(N199))),"Missing coordinates","Complete"))</f>
        <v>Complete</v>
      </c>
      <c r="AW199" s="1" t="str">
        <f aca="false">IF(AND(ISNUMBER(M199),ISNUMBER(N199)),"Ready","Coordinates required")</f>
        <v>Ready</v>
      </c>
      <c r="AX199" s="1" t="str">
        <f aca="false">IF(OR(AT199=TRUE(),AT199="TRUE"),"Demo record",IF(A199="","Missing ID",IF(B199="","Missing name",IF(NOT(AND(ISNUMBER(M199),ISNUMBER(N199))),"Coordinates required","Ready for publication"))))</f>
        <v>Ready for publication</v>
      </c>
    </row>
    <row r="200" customFormat="false" ht="14.25" hidden="false" customHeight="true" outlineLevel="0" collapsed="false">
      <c r="A200" s="1" t="s">
        <v>1052</v>
      </c>
      <c r="B200" s="1" t="s">
        <v>1053</v>
      </c>
      <c r="C200" s="11" t="s">
        <v>52</v>
      </c>
      <c r="D200" s="1" t="s">
        <v>1054</v>
      </c>
      <c r="E200" s="1" t="s">
        <v>1055</v>
      </c>
      <c r="F200" s="1" t="str">
        <f aca="false">IF(C200="Singapore",IF(LEN(TEXT(E200,"000000"))=6,LEFT(TEXT(E200,"000000"),2),""),"")</f>
        <v>79</v>
      </c>
      <c r="H200" s="1" t="s">
        <v>830</v>
      </c>
      <c r="I200" s="1" t="s">
        <v>831</v>
      </c>
      <c r="J200" s="1" t="s">
        <v>832</v>
      </c>
      <c r="K200" s="11" t="s">
        <v>102</v>
      </c>
      <c r="L200" s="11" t="s">
        <v>59</v>
      </c>
      <c r="M200" s="1" t="n">
        <v>1.398201</v>
      </c>
      <c r="N200" s="1" t="n">
        <v>103.873284</v>
      </c>
      <c r="O200" s="11" t="s">
        <v>60</v>
      </c>
      <c r="P200" s="1" t="s">
        <v>73</v>
      </c>
      <c r="R200" s="1" t="s">
        <v>62</v>
      </c>
      <c r="AH200" s="1" t="s">
        <v>63</v>
      </c>
      <c r="AI200" s="1" t="s">
        <v>63</v>
      </c>
      <c r="AK200" s="1" t="s">
        <v>1024</v>
      </c>
      <c r="AM200" s="12" t="n">
        <v>46311</v>
      </c>
      <c r="AT200" s="1" t="s">
        <v>66</v>
      </c>
      <c r="AU200" s="1" t="str">
        <f aca="false">IF(OR(AT200=TRUE(),AT200="TRUE"),"This sample listing is provided solely to demonstrate the directory interface. It does not represent a live declaration, verification, endorsement or participating establishment.","")</f>
        <v/>
      </c>
      <c r="AV200" s="1" t="str">
        <f aca="false">IF(OR(A200="",B200="",C200="",D200=""),"Missing required fields",IF(NOT(AND(ISNUMBER(M200),ISNUMBER(N200))),"Missing coordinates","Complete"))</f>
        <v>Complete</v>
      </c>
      <c r="AW200" s="1" t="str">
        <f aca="false">IF(AND(ISNUMBER(M200),ISNUMBER(N200)),"Ready","Coordinates required")</f>
        <v>Ready</v>
      </c>
      <c r="AX200" s="1" t="str">
        <f aca="false">IF(OR(AT200=TRUE(),AT200="TRUE"),"Demo record",IF(A200="","Missing ID",IF(B200="","Missing name",IF(NOT(AND(ISNUMBER(M200),ISNUMBER(N200))),"Coordinates required","Ready for publication"))))</f>
        <v>Ready for publication</v>
      </c>
    </row>
    <row r="201" customFormat="false" ht="14.25" hidden="false" customHeight="true" outlineLevel="0" collapsed="false">
      <c r="A201" s="1" t="s">
        <v>1056</v>
      </c>
      <c r="B201" s="1" t="s">
        <v>1057</v>
      </c>
      <c r="C201" s="11" t="s">
        <v>52</v>
      </c>
      <c r="D201" s="1" t="s">
        <v>1058</v>
      </c>
      <c r="E201" s="1" t="s">
        <v>1059</v>
      </c>
      <c r="F201" s="1" t="str">
        <f aca="false">IF(C201="Singapore",IF(LEN(TEXT(E201,"000000"))=6,LEFT(TEXT(E201,"000000"),2),""),"")</f>
        <v>59</v>
      </c>
      <c r="H201" s="1" t="s">
        <v>173</v>
      </c>
      <c r="I201" s="1" t="s">
        <v>174</v>
      </c>
      <c r="J201" s="1" t="s">
        <v>175</v>
      </c>
      <c r="K201" s="11" t="s">
        <v>589</v>
      </c>
      <c r="L201" s="11" t="s">
        <v>59</v>
      </c>
      <c r="M201" s="1" t="n">
        <v>1.343191</v>
      </c>
      <c r="N201" s="1" t="n">
        <v>103.775138</v>
      </c>
      <c r="O201" s="11" t="s">
        <v>60</v>
      </c>
      <c r="P201" s="1" t="s">
        <v>73</v>
      </c>
      <c r="R201" s="1" t="s">
        <v>62</v>
      </c>
      <c r="AH201" s="1" t="s">
        <v>63</v>
      </c>
      <c r="AI201" s="1" t="s">
        <v>63</v>
      </c>
      <c r="AK201" s="1" t="s">
        <v>176</v>
      </c>
      <c r="AM201" s="12" t="n">
        <v>46311</v>
      </c>
      <c r="AN201" s="1" t="s">
        <v>1060</v>
      </c>
      <c r="AT201" s="1" t="s">
        <v>66</v>
      </c>
      <c r="AU201" s="1" t="str">
        <f aca="false">IF(OR(AT201=TRUE(),AT201="TRUE"),"This sample listing is provided solely to demonstrate the directory interface. It does not represent a live declaration, verification, endorsement or participating establishment.","")</f>
        <v/>
      </c>
      <c r="AV201" s="1" t="str">
        <f aca="false">IF(OR(A201="",B201="",C201="",D201=""),"Missing required fields",IF(NOT(AND(ISNUMBER(M201),ISNUMBER(N201))),"Missing coordinates","Complete"))</f>
        <v>Complete</v>
      </c>
      <c r="AW201" s="1" t="str">
        <f aca="false">IF(AND(ISNUMBER(M201),ISNUMBER(N201)),"Ready","Coordinates required")</f>
        <v>Ready</v>
      </c>
      <c r="AX201" s="1" t="str">
        <f aca="false">IF(OR(AT201=TRUE(),AT201="TRUE"),"Demo record",IF(A201="","Missing ID",IF(B201="","Missing name",IF(NOT(AND(ISNUMBER(M201),ISNUMBER(N201))),"Coordinates required","Ready for publication"))))</f>
        <v>Ready for publication</v>
      </c>
    </row>
    <row r="202" customFormat="false" ht="14.25" hidden="false" customHeight="true" outlineLevel="0" collapsed="false">
      <c r="A202" s="1" t="s">
        <v>1061</v>
      </c>
      <c r="B202" s="1" t="s">
        <v>1062</v>
      </c>
      <c r="C202" s="11" t="s">
        <v>52</v>
      </c>
      <c r="D202" s="1" t="s">
        <v>68</v>
      </c>
      <c r="E202" s="1" t="s">
        <v>69</v>
      </c>
      <c r="F202" s="1" t="str">
        <f aca="false">IF(C202="Singapore",IF(LEN(TEXT(E202,"000000"))=6,LEFT(TEXT(E202,"000000"),2),""),"")</f>
        <v>51</v>
      </c>
      <c r="H202" s="1" t="s">
        <v>70</v>
      </c>
      <c r="I202" s="1" t="s">
        <v>71</v>
      </c>
      <c r="J202" s="1" t="s">
        <v>72</v>
      </c>
      <c r="K202" s="11" t="s">
        <v>1063</v>
      </c>
      <c r="L202" s="11" t="s">
        <v>59</v>
      </c>
      <c r="M202" s="1" t="n">
        <v>1.372362</v>
      </c>
      <c r="N202" s="1" t="n">
        <v>103.949708</v>
      </c>
      <c r="O202" s="11" t="s">
        <v>60</v>
      </c>
      <c r="P202" s="1" t="s">
        <v>73</v>
      </c>
      <c r="R202" s="1" t="s">
        <v>62</v>
      </c>
      <c r="AH202" s="1" t="s">
        <v>63</v>
      </c>
      <c r="AI202" s="1" t="s">
        <v>63</v>
      </c>
      <c r="AK202" s="1" t="s">
        <v>838</v>
      </c>
      <c r="AM202" s="12" t="n">
        <v>46311</v>
      </c>
      <c r="AN202" s="1" t="s">
        <v>1064</v>
      </c>
      <c r="AT202" s="1" t="s">
        <v>66</v>
      </c>
      <c r="AU202" s="1" t="str">
        <f aca="false">IF(OR(AT202=TRUE(),AT202="TRUE"),"This sample listing is provided solely to demonstrate the directory interface. It does not represent a live declaration, verification, endorsement or participating establishment.","")</f>
        <v/>
      </c>
      <c r="AV202" s="1" t="str">
        <f aca="false">IF(OR(A202="",B202="",C202="",D202=""),"Missing required fields",IF(NOT(AND(ISNUMBER(M202),ISNUMBER(N202))),"Missing coordinates","Complete"))</f>
        <v>Complete</v>
      </c>
      <c r="AW202" s="1" t="str">
        <f aca="false">IF(AND(ISNUMBER(M202),ISNUMBER(N202)),"Ready","Coordinates required")</f>
        <v>Ready</v>
      </c>
      <c r="AX202" s="1" t="str">
        <f aca="false">IF(OR(AT202=TRUE(),AT202="TRUE"),"Demo record",IF(A202="","Missing ID",IF(B202="","Missing name",IF(NOT(AND(ISNUMBER(M202),ISNUMBER(N202))),"Coordinates required","Ready for publication"))))</f>
        <v>Ready for publication</v>
      </c>
    </row>
    <row r="203" customFormat="false" ht="14.25" hidden="false" customHeight="true" outlineLevel="0" collapsed="false">
      <c r="A203" s="1" t="s">
        <v>1065</v>
      </c>
      <c r="B203" s="1" t="s">
        <v>1066</v>
      </c>
      <c r="C203" s="11" t="s">
        <v>52</v>
      </c>
      <c r="D203" s="1" t="s">
        <v>1067</v>
      </c>
      <c r="E203" s="1" t="s">
        <v>1068</v>
      </c>
      <c r="F203" s="1" t="str">
        <f aca="false">IF(C203="Singapore",IF(LEN(TEXT(E203,"000000"))=6,LEFT(TEXT(E203,"000000"),2),""),"")</f>
        <v>67</v>
      </c>
      <c r="H203" s="1" t="s">
        <v>87</v>
      </c>
      <c r="I203" s="1" t="s">
        <v>88</v>
      </c>
      <c r="J203" s="1" t="s">
        <v>89</v>
      </c>
      <c r="K203" s="11" t="s">
        <v>90</v>
      </c>
      <c r="L203" s="11" t="s">
        <v>59</v>
      </c>
      <c r="M203" s="1" t="n">
        <v>1.378679</v>
      </c>
      <c r="N203" s="1" t="n">
        <v>103.773381</v>
      </c>
      <c r="O203" s="11" t="s">
        <v>60</v>
      </c>
      <c r="P203" s="1" t="s">
        <v>73</v>
      </c>
      <c r="R203" s="1" t="s">
        <v>62</v>
      </c>
      <c r="AH203" s="1" t="s">
        <v>63</v>
      </c>
      <c r="AI203" s="1" t="s">
        <v>63</v>
      </c>
      <c r="AK203" s="1" t="s">
        <v>1069</v>
      </c>
      <c r="AM203" s="12" t="s">
        <v>65</v>
      </c>
      <c r="AT203" s="1" t="s">
        <v>66</v>
      </c>
      <c r="AU203" s="1" t="str">
        <f aca="false">IF(OR(AT203=TRUE(),AT203="TRUE"),"This sample listing is provided solely to demonstrate the directory interface. It does not represent a live declaration, verification, endorsement or participating establishment.","")</f>
        <v/>
      </c>
      <c r="AV203" s="1" t="str">
        <f aca="false">IF(OR(A203="",B203="",C203="",D203=""),"Missing required fields",IF(NOT(AND(ISNUMBER(M203),ISNUMBER(N203))),"Missing coordinates","Complete"))</f>
        <v>Complete</v>
      </c>
      <c r="AW203" s="1" t="str">
        <f aca="false">IF(AND(ISNUMBER(M203),ISNUMBER(N203)),"Ready","Coordinates required")</f>
        <v>Ready</v>
      </c>
      <c r="AX203" s="1" t="str">
        <f aca="false">IF(OR(AT203=TRUE(),AT203="TRUE"),"Demo record",IF(A203="","Missing ID",IF(B203="","Missing name",IF(NOT(AND(ISNUMBER(M203),ISNUMBER(N203))),"Coordinates required","Ready for publication"))))</f>
        <v>Ready for publication</v>
      </c>
    </row>
    <row r="204" customFormat="false" ht="14.25" hidden="false" customHeight="true" outlineLevel="0" collapsed="false">
      <c r="A204" s="1" t="s">
        <v>1070</v>
      </c>
      <c r="B204" s="1" t="s">
        <v>1071</v>
      </c>
      <c r="C204" s="11" t="s">
        <v>52</v>
      </c>
      <c r="D204" s="1" t="s">
        <v>741</v>
      </c>
      <c r="E204" s="1" t="s">
        <v>742</v>
      </c>
      <c r="F204" s="1" t="str">
        <f aca="false">IF(C204="Singapore",IF(LEN(TEXT(E204,"000000"))=6,LEFT(TEXT(E204,"000000"),2),""),"")</f>
        <v>11</v>
      </c>
      <c r="H204" s="1" t="s">
        <v>364</v>
      </c>
      <c r="I204" s="1" t="s">
        <v>365</v>
      </c>
      <c r="J204" s="1" t="s">
        <v>366</v>
      </c>
      <c r="K204" s="11"/>
      <c r="L204" s="11" t="s">
        <v>59</v>
      </c>
      <c r="M204" s="1" t="n">
        <v>1.294612</v>
      </c>
      <c r="N204" s="1" t="n">
        <v>103.772348</v>
      </c>
      <c r="O204" s="11" t="s">
        <v>60</v>
      </c>
      <c r="P204" s="1" t="s">
        <v>73</v>
      </c>
      <c r="R204" s="1" t="s">
        <v>62</v>
      </c>
      <c r="AH204" s="1" t="s">
        <v>63</v>
      </c>
      <c r="AI204" s="1" t="s">
        <v>63</v>
      </c>
      <c r="AK204" s="1" t="s">
        <v>743</v>
      </c>
      <c r="AM204" s="12" t="n">
        <v>46311</v>
      </c>
      <c r="AT204" s="1" t="s">
        <v>66</v>
      </c>
      <c r="AU204" s="1" t="str">
        <f aca="false">IF(OR(AT204=TRUE(),AT204="TRUE"),"This sample listing is provided solely to demonstrate the directory interface. It does not represent a live declaration, verification, endorsement or participating establishment.","")</f>
        <v/>
      </c>
      <c r="AV204" s="1" t="str">
        <f aca="false">IF(OR(A204="",B204="",C204="",D204=""),"Missing required fields",IF(NOT(AND(ISNUMBER(M204),ISNUMBER(N204))),"Missing coordinates","Complete"))</f>
        <v>Complete</v>
      </c>
      <c r="AW204" s="1" t="str">
        <f aca="false">IF(AND(ISNUMBER(M204),ISNUMBER(N204)),"Ready","Coordinates required")</f>
        <v>Ready</v>
      </c>
      <c r="AX204" s="1" t="str">
        <f aca="false">IF(OR(AT204=TRUE(),AT204="TRUE"),"Demo record",IF(A204="","Missing ID",IF(B204="","Missing name",IF(NOT(AND(ISNUMBER(M204),ISNUMBER(N204))),"Coordinates required","Ready for publication"))))</f>
        <v>Ready for publication</v>
      </c>
    </row>
    <row r="205" customFormat="false" ht="14.25" hidden="false" customHeight="true" outlineLevel="0" collapsed="false">
      <c r="A205" s="1" t="s">
        <v>1072</v>
      </c>
      <c r="B205" s="1" t="s">
        <v>1073</v>
      </c>
      <c r="C205" s="11" t="s">
        <v>52</v>
      </c>
      <c r="D205" s="1" t="s">
        <v>1074</v>
      </c>
      <c r="E205" s="1" t="s">
        <v>206</v>
      </c>
      <c r="F205" s="1" t="str">
        <f aca="false">IF(C205="Singapore",IF(LEN(TEXT(E205,"000000"))=6,LEFT(TEXT(E205,"000000"),2),""),"")</f>
        <v>32</v>
      </c>
      <c r="H205" s="1" t="s">
        <v>55</v>
      </c>
      <c r="I205" s="1" t="s">
        <v>56</v>
      </c>
      <c r="J205" s="1" t="s">
        <v>57</v>
      </c>
      <c r="K205" s="11"/>
      <c r="L205" s="11" t="s">
        <v>112</v>
      </c>
      <c r="M205" s="1" t="n">
        <v>1.323066</v>
      </c>
      <c r="N205" s="1" t="n">
        <v>103.854999</v>
      </c>
      <c r="O205" s="11" t="s">
        <v>60</v>
      </c>
      <c r="P205" s="1" t="s">
        <v>113</v>
      </c>
      <c r="R205" s="1" t="s">
        <v>62</v>
      </c>
      <c r="AH205" s="1" t="s">
        <v>63</v>
      </c>
      <c r="AI205" s="1" t="s">
        <v>63</v>
      </c>
      <c r="AK205" s="1" t="s">
        <v>1075</v>
      </c>
      <c r="AM205" s="12" t="n">
        <v>46311</v>
      </c>
      <c r="AT205" s="1" t="s">
        <v>66</v>
      </c>
      <c r="AU205" s="1" t="str">
        <f aca="false">IF(OR(AT205=TRUE(),AT205="TRUE"),"This sample listing is provided solely to demonstrate the directory interface. It does not represent a live declaration, verification, endorsement or participating establishment.","")</f>
        <v/>
      </c>
      <c r="AV205" s="1" t="str">
        <f aca="false">IF(OR(A205="",B205="",C205="",D205=""),"Missing required fields",IF(NOT(AND(ISNUMBER(M205),ISNUMBER(N205))),"Missing coordinates","Complete"))</f>
        <v>Complete</v>
      </c>
      <c r="AW205" s="1" t="str">
        <f aca="false">IF(AND(ISNUMBER(M205),ISNUMBER(N205)),"Ready","Coordinates required")</f>
        <v>Ready</v>
      </c>
      <c r="AX205" s="1" t="str">
        <f aca="false">IF(OR(AT205=TRUE(),AT205="TRUE"),"Demo record",IF(A205="","Missing ID",IF(B205="","Missing name",IF(NOT(AND(ISNUMBER(M205),ISNUMBER(N205))),"Coordinates required","Ready for publication"))))</f>
        <v>Ready for publication</v>
      </c>
    </row>
    <row r="206" customFormat="false" ht="14.25" hidden="false" customHeight="true" outlineLevel="0" collapsed="false">
      <c r="A206" s="1" t="s">
        <v>1076</v>
      </c>
      <c r="B206" s="1" t="s">
        <v>1077</v>
      </c>
      <c r="C206" s="11" t="s">
        <v>52</v>
      </c>
      <c r="D206" s="1" t="s">
        <v>1078</v>
      </c>
      <c r="F206" s="1" t="str">
        <f aca="false">IF(C206="Singapore",IF(LEN(TEXT(E206,"000000"))=6,LEFT(TEXT(E206,"000000"),2),""),"")</f>
        <v>00</v>
      </c>
      <c r="K206" s="11" t="s">
        <v>1079</v>
      </c>
      <c r="L206" s="11" t="s">
        <v>59</v>
      </c>
      <c r="M206" s="1" t="n">
        <v>1.263442</v>
      </c>
      <c r="N206" s="1" t="n">
        <v>103.821891</v>
      </c>
      <c r="O206" s="11" t="s">
        <v>60</v>
      </c>
      <c r="P206" s="1" t="s">
        <v>73</v>
      </c>
      <c r="R206" s="1" t="s">
        <v>62</v>
      </c>
      <c r="AH206" s="1" t="s">
        <v>63</v>
      </c>
      <c r="AI206" s="1" t="s">
        <v>63</v>
      </c>
      <c r="AK206" s="1" t="s">
        <v>1080</v>
      </c>
      <c r="AM206" s="12" t="n">
        <v>46311</v>
      </c>
      <c r="AT206" s="1" t="s">
        <v>66</v>
      </c>
      <c r="AU206" s="1" t="str">
        <f aca="false">IF(OR(AT206=TRUE(),AT206="TRUE"),"This sample listing is provided solely to demonstrate the directory interface. It does not represent a live declaration, verification, endorsement or participating establishment.","")</f>
        <v/>
      </c>
      <c r="AV206" s="1" t="str">
        <f aca="false">IF(OR(A206="",B206="",C206="",D206=""),"Missing required fields",IF(NOT(AND(ISNUMBER(M206),ISNUMBER(N206))),"Missing coordinates","Complete"))</f>
        <v>Complete</v>
      </c>
      <c r="AW206" s="1" t="str">
        <f aca="false">IF(AND(ISNUMBER(M206),ISNUMBER(N206)),"Ready","Coordinates required")</f>
        <v>Ready</v>
      </c>
      <c r="AX206" s="1" t="str">
        <f aca="false">IF(OR(AT206=TRUE(),AT206="TRUE"),"Demo record",IF(A206="","Missing ID",IF(B206="","Missing name",IF(NOT(AND(ISNUMBER(M206),ISNUMBER(N206))),"Coordinates required","Ready for publication"))))</f>
        <v>Ready for publication</v>
      </c>
    </row>
    <row r="207" customFormat="false" ht="14.25" hidden="false" customHeight="true" outlineLevel="0" collapsed="false">
      <c r="A207" s="1" t="s">
        <v>1081</v>
      </c>
      <c r="B207" s="1" t="s">
        <v>1082</v>
      </c>
      <c r="C207" s="11" t="s">
        <v>52</v>
      </c>
      <c r="D207" s="1" t="s">
        <v>1083</v>
      </c>
      <c r="E207" s="1" t="s">
        <v>1084</v>
      </c>
      <c r="F207" s="1" t="str">
        <f aca="false">IF(C207="Singapore",IF(LEN(TEXT(E207,"000000"))=6,LEFT(TEXT(E207,"000000"),2),""),"")</f>
        <v>82</v>
      </c>
      <c r="H207" s="1" t="s">
        <v>1085</v>
      </c>
      <c r="I207" s="1" t="s">
        <v>492</v>
      </c>
      <c r="J207" s="1" t="s">
        <v>493</v>
      </c>
      <c r="K207" s="11" t="s">
        <v>1086</v>
      </c>
      <c r="L207" s="11" t="s">
        <v>59</v>
      </c>
      <c r="M207" s="1" t="n">
        <v>1.40596</v>
      </c>
      <c r="N207" s="1" t="n">
        <v>103.902377</v>
      </c>
      <c r="O207" s="11" t="s">
        <v>60</v>
      </c>
      <c r="P207" s="1" t="s">
        <v>73</v>
      </c>
      <c r="R207" s="1" t="s">
        <v>62</v>
      </c>
      <c r="AH207" s="1" t="s">
        <v>63</v>
      </c>
      <c r="AI207" s="1" t="s">
        <v>63</v>
      </c>
      <c r="AK207" s="1" t="s">
        <v>1087</v>
      </c>
      <c r="AM207" s="12" t="n">
        <v>46311</v>
      </c>
      <c r="AT207" s="1" t="s">
        <v>66</v>
      </c>
      <c r="AU207" s="1" t="str">
        <f aca="false">IF(OR(AT207=TRUE(),AT207="TRUE"),"This sample listing is provided solely to demonstrate the directory interface. It does not represent a live declaration, verification, endorsement or participating establishment.","")</f>
        <v/>
      </c>
      <c r="AV207" s="1" t="str">
        <f aca="false">IF(OR(A207="",B207="",C207="",D207=""),"Missing required fields",IF(NOT(AND(ISNUMBER(M207),ISNUMBER(N207))),"Missing coordinates","Complete"))</f>
        <v>Complete</v>
      </c>
      <c r="AW207" s="1" t="str">
        <f aca="false">IF(AND(ISNUMBER(M207),ISNUMBER(N207)),"Ready","Coordinates required")</f>
        <v>Ready</v>
      </c>
      <c r="AX207" s="1" t="str">
        <f aca="false">IF(OR(AT207=TRUE(),AT207="TRUE"),"Demo record",IF(A207="","Missing ID",IF(B207="","Missing name",IF(NOT(AND(ISNUMBER(M207),ISNUMBER(N207))),"Coordinates required","Ready for publication"))))</f>
        <v>Ready for publication</v>
      </c>
    </row>
    <row r="208" customFormat="false" ht="14.25" hidden="false" customHeight="true" outlineLevel="0" collapsed="false">
      <c r="A208" s="1" t="s">
        <v>1088</v>
      </c>
      <c r="B208" s="1" t="s">
        <v>1082</v>
      </c>
      <c r="C208" s="11" t="s">
        <v>52</v>
      </c>
      <c r="D208" s="1" t="s">
        <v>68</v>
      </c>
      <c r="E208" s="1" t="s">
        <v>69</v>
      </c>
      <c r="F208" s="1" t="str">
        <f aca="false">IF(C208="Singapore",IF(LEN(TEXT(E208,"000000"))=6,LEFT(TEXT(E208,"000000"),2),""),"")</f>
        <v>51</v>
      </c>
      <c r="H208" s="1" t="s">
        <v>70</v>
      </c>
      <c r="I208" s="1" t="s">
        <v>71</v>
      </c>
      <c r="J208" s="1" t="s">
        <v>72</v>
      </c>
      <c r="K208" s="11" t="s">
        <v>399</v>
      </c>
      <c r="L208" s="11" t="s">
        <v>59</v>
      </c>
      <c r="M208" s="1" t="n">
        <v>1.372316</v>
      </c>
      <c r="N208" s="1" t="n">
        <v>103.949925</v>
      </c>
      <c r="O208" s="11" t="s">
        <v>60</v>
      </c>
      <c r="P208" s="1" t="s">
        <v>73</v>
      </c>
      <c r="R208" s="1" t="s">
        <v>62</v>
      </c>
      <c r="AH208" s="1" t="s">
        <v>63</v>
      </c>
      <c r="AI208" s="1" t="s">
        <v>63</v>
      </c>
      <c r="AK208" s="1" t="s">
        <v>79</v>
      </c>
      <c r="AM208" s="12" t="n">
        <v>46311</v>
      </c>
      <c r="AN208" s="1" t="s">
        <v>1089</v>
      </c>
      <c r="AT208" s="1" t="s">
        <v>66</v>
      </c>
      <c r="AU208" s="1" t="str">
        <f aca="false">IF(OR(AT208=TRUE(),AT208="TRUE"),"This sample listing is provided solely to demonstrate the directory interface. It does not represent a live declaration, verification, endorsement or participating establishment.","")</f>
        <v/>
      </c>
      <c r="AV208" s="1" t="str">
        <f aca="false">IF(OR(A208="",B208="",C208="",D208=""),"Missing required fields",IF(NOT(AND(ISNUMBER(M208),ISNUMBER(N208))),"Missing coordinates","Complete"))</f>
        <v>Complete</v>
      </c>
      <c r="AW208" s="1" t="str">
        <f aca="false">IF(AND(ISNUMBER(M208),ISNUMBER(N208)),"Ready","Coordinates required")</f>
        <v>Ready</v>
      </c>
      <c r="AX208" s="1" t="str">
        <f aca="false">IF(OR(AT208=TRUE(),AT208="TRUE"),"Demo record",IF(A208="","Missing ID",IF(B208="","Missing name",IF(NOT(AND(ISNUMBER(M208),ISNUMBER(N208))),"Coordinates required","Ready for publication"))))</f>
        <v>Ready for publication</v>
      </c>
    </row>
    <row r="209" customFormat="false" ht="14.25" hidden="false" customHeight="true" outlineLevel="0" collapsed="false">
      <c r="A209" s="1" t="s">
        <v>1090</v>
      </c>
      <c r="B209" s="1" t="s">
        <v>1091</v>
      </c>
      <c r="C209" s="11" t="s">
        <v>52</v>
      </c>
      <c r="D209" s="1" t="s">
        <v>1092</v>
      </c>
      <c r="F209" s="1" t="str">
        <f aca="false">IF(C209="Singapore",IF(LEN(TEXT(E209,"000000"))=6,LEFT(TEXT(E209,"000000"),2),""),"")</f>
        <v>00</v>
      </c>
      <c r="K209" s="11" t="s">
        <v>102</v>
      </c>
      <c r="L209" s="11" t="s">
        <v>59</v>
      </c>
      <c r="M209" s="1" t="n">
        <v>1.305888</v>
      </c>
      <c r="N209" s="1" t="n">
        <v>103.850594</v>
      </c>
      <c r="O209" s="11" t="s">
        <v>60</v>
      </c>
      <c r="P209" s="1" t="s">
        <v>73</v>
      </c>
      <c r="R209" s="1" t="s">
        <v>62</v>
      </c>
      <c r="AH209" s="1" t="s">
        <v>63</v>
      </c>
      <c r="AI209" s="1" t="s">
        <v>63</v>
      </c>
      <c r="AK209" s="1" t="s">
        <v>1093</v>
      </c>
      <c r="AM209" s="12" t="n">
        <v>46311</v>
      </c>
      <c r="AT209" s="1" t="s">
        <v>66</v>
      </c>
      <c r="AU209" s="1" t="str">
        <f aca="false">IF(OR(AT209=TRUE(),AT209="TRUE"),"This sample listing is provided solely to demonstrate the directory interface. It does not represent a live declaration, verification, endorsement or participating establishment.","")</f>
        <v/>
      </c>
      <c r="AV209" s="1" t="str">
        <f aca="false">IF(OR(A209="",B209="",C209="",D209=""),"Missing required fields",IF(NOT(AND(ISNUMBER(M209),ISNUMBER(N209))),"Missing coordinates","Complete"))</f>
        <v>Complete</v>
      </c>
      <c r="AW209" s="1" t="str">
        <f aca="false">IF(AND(ISNUMBER(M209),ISNUMBER(N209)),"Ready","Coordinates required")</f>
        <v>Ready</v>
      </c>
      <c r="AX209" s="1" t="str">
        <f aca="false">IF(OR(AT209=TRUE(),AT209="TRUE"),"Demo record",IF(A209="","Missing ID",IF(B209="","Missing name",IF(NOT(AND(ISNUMBER(M209),ISNUMBER(N209))),"Coordinates required","Ready for publication"))))</f>
        <v>Ready for publication</v>
      </c>
    </row>
    <row r="210" customFormat="false" ht="14.25" hidden="false" customHeight="true" outlineLevel="0" collapsed="false">
      <c r="A210" s="1" t="s">
        <v>1094</v>
      </c>
      <c r="B210" s="1" t="s">
        <v>1095</v>
      </c>
      <c r="C210" s="11" t="s">
        <v>52</v>
      </c>
      <c r="D210" s="1" t="s">
        <v>68</v>
      </c>
      <c r="E210" s="1" t="s">
        <v>69</v>
      </c>
      <c r="F210" s="1" t="str">
        <f aca="false">IF(C210="Singapore",IF(LEN(TEXT(E210,"000000"))=6,LEFT(TEXT(E210,"000000"),2),""),"")</f>
        <v>51</v>
      </c>
      <c r="H210" s="1" t="s">
        <v>70</v>
      </c>
      <c r="I210" s="1" t="s">
        <v>71</v>
      </c>
      <c r="J210" s="1" t="s">
        <v>72</v>
      </c>
      <c r="K210" s="11" t="s">
        <v>414</v>
      </c>
      <c r="L210" s="11" t="s">
        <v>59</v>
      </c>
      <c r="M210" s="1" t="n">
        <v>1.372381</v>
      </c>
      <c r="N210" s="1" t="n">
        <v>103.949343</v>
      </c>
      <c r="O210" s="11" t="s">
        <v>60</v>
      </c>
      <c r="P210" s="1" t="s">
        <v>73</v>
      </c>
      <c r="R210" s="1" t="s">
        <v>62</v>
      </c>
      <c r="AH210" s="1" t="s">
        <v>63</v>
      </c>
      <c r="AI210" s="1" t="s">
        <v>63</v>
      </c>
      <c r="AK210" s="1" t="s">
        <v>651</v>
      </c>
      <c r="AM210" s="12" t="n">
        <v>46311</v>
      </c>
      <c r="AN210" s="1" t="s">
        <v>1096</v>
      </c>
      <c r="AT210" s="1" t="s">
        <v>66</v>
      </c>
      <c r="AU210" s="1" t="str">
        <f aca="false">IF(OR(AT210=TRUE(),AT210="TRUE"),"This sample listing is provided solely to demonstrate the directory interface. It does not represent a live declaration, verification, endorsement or participating establishment.","")</f>
        <v/>
      </c>
      <c r="AV210" s="1" t="str">
        <f aca="false">IF(OR(A210="",B210="",C210="",D210=""),"Missing required fields",IF(NOT(AND(ISNUMBER(M210),ISNUMBER(N210))),"Missing coordinates","Complete"))</f>
        <v>Complete</v>
      </c>
      <c r="AW210" s="1" t="str">
        <f aca="false">IF(AND(ISNUMBER(M210),ISNUMBER(N210)),"Ready","Coordinates required")</f>
        <v>Ready</v>
      </c>
      <c r="AX210" s="1" t="str">
        <f aca="false">IF(OR(AT210=TRUE(),AT210="TRUE"),"Demo record",IF(A210="","Missing ID",IF(B210="","Missing name",IF(NOT(AND(ISNUMBER(M210),ISNUMBER(N210))),"Coordinates required","Ready for publication"))))</f>
        <v>Ready for publication</v>
      </c>
    </row>
    <row r="211" customFormat="false" ht="14.25" hidden="false" customHeight="true" outlineLevel="0" collapsed="false">
      <c r="A211" s="1" t="s">
        <v>1097</v>
      </c>
      <c r="B211" s="1" t="s">
        <v>1098</v>
      </c>
      <c r="C211" s="11" t="s">
        <v>52</v>
      </c>
      <c r="D211" s="1" t="s">
        <v>1067</v>
      </c>
      <c r="E211" s="1" t="s">
        <v>1068</v>
      </c>
      <c r="F211" s="1" t="str">
        <f aca="false">IF(C211="Singapore",IF(LEN(TEXT(E211,"000000"))=6,LEFT(TEXT(E211,"000000"),2),""),"")</f>
        <v>67</v>
      </c>
      <c r="H211" s="1" t="s">
        <v>87</v>
      </c>
      <c r="I211" s="1" t="s">
        <v>88</v>
      </c>
      <c r="J211" s="1" t="s">
        <v>89</v>
      </c>
      <c r="K211" s="11"/>
      <c r="L211" s="11" t="s">
        <v>112</v>
      </c>
      <c r="M211" s="1" t="n">
        <v>1.378723</v>
      </c>
      <c r="N211" s="1" t="n">
        <v>103.773386</v>
      </c>
      <c r="O211" s="11" t="s">
        <v>60</v>
      </c>
      <c r="P211" s="1" t="s">
        <v>113</v>
      </c>
      <c r="R211" s="1" t="s">
        <v>62</v>
      </c>
      <c r="AH211" s="1" t="s">
        <v>63</v>
      </c>
      <c r="AI211" s="1" t="s">
        <v>63</v>
      </c>
      <c r="AK211" s="1" t="s">
        <v>1069</v>
      </c>
      <c r="AM211" s="12" t="s">
        <v>65</v>
      </c>
      <c r="AT211" s="1" t="s">
        <v>66</v>
      </c>
      <c r="AU211" s="1" t="str">
        <f aca="false">IF(OR(AT211=TRUE(),AT211="TRUE"),"This sample listing is provided solely to demonstrate the directory interface. It does not represent a live declaration, verification, endorsement or participating establishment.","")</f>
        <v/>
      </c>
      <c r="AV211" s="1" t="str">
        <f aca="false">IF(OR(A211="",B211="",C211="",D211=""),"Missing required fields",IF(NOT(AND(ISNUMBER(M211),ISNUMBER(N211))),"Missing coordinates","Complete"))</f>
        <v>Complete</v>
      </c>
      <c r="AW211" s="1" t="str">
        <f aca="false">IF(AND(ISNUMBER(M211),ISNUMBER(N211)),"Ready","Coordinates required")</f>
        <v>Ready</v>
      </c>
      <c r="AX211" s="1" t="str">
        <f aca="false">IF(OR(AT211=TRUE(),AT211="TRUE"),"Demo record",IF(A211="","Missing ID",IF(B211="","Missing name",IF(NOT(AND(ISNUMBER(M211),ISNUMBER(N211))),"Coordinates required","Ready for publication"))))</f>
        <v>Ready for publication</v>
      </c>
    </row>
    <row r="212" customFormat="false" ht="14.25" hidden="false" customHeight="true" outlineLevel="0" collapsed="false">
      <c r="C212" s="11"/>
      <c r="K212" s="11"/>
      <c r="L212" s="11"/>
      <c r="O212" s="11"/>
      <c r="AM212" s="12"/>
    </row>
    <row r="213" customFormat="false" ht="14.25" hidden="false" customHeight="true" outlineLevel="0" collapsed="false">
      <c r="C213" s="11"/>
      <c r="K213" s="11"/>
      <c r="L213" s="11"/>
      <c r="O213" s="11"/>
    </row>
    <row r="214" customFormat="false" ht="14.25" hidden="false" customHeight="true" outlineLevel="0" collapsed="false">
      <c r="C214" s="11"/>
      <c r="K214" s="11"/>
      <c r="L214" s="11"/>
      <c r="O214" s="11"/>
    </row>
    <row r="215" customFormat="false" ht="14.25" hidden="false" customHeight="true" outlineLevel="0" collapsed="false">
      <c r="C215" s="11"/>
      <c r="K215" s="11"/>
      <c r="L215" s="11"/>
      <c r="O215" s="11"/>
    </row>
    <row r="216" customFormat="false" ht="14.25" hidden="false" customHeight="true" outlineLevel="0" collapsed="false">
      <c r="C216" s="11"/>
      <c r="K216" s="11"/>
      <c r="L216" s="11"/>
      <c r="O216" s="11"/>
    </row>
    <row r="217" customFormat="false" ht="14.25" hidden="false" customHeight="true" outlineLevel="0" collapsed="false">
      <c r="C217" s="11"/>
      <c r="K217" s="11"/>
      <c r="L217" s="11"/>
      <c r="O217" s="11"/>
    </row>
    <row r="218" customFormat="false" ht="14.25" hidden="false" customHeight="true" outlineLevel="0" collapsed="false">
      <c r="C218" s="11"/>
      <c r="K218" s="11"/>
      <c r="L218" s="11"/>
      <c r="O218" s="11"/>
    </row>
    <row r="219" customFormat="false" ht="14.25" hidden="false" customHeight="true" outlineLevel="0" collapsed="false">
      <c r="C219" s="11"/>
      <c r="K219" s="11"/>
      <c r="L219" s="11"/>
      <c r="O219" s="11"/>
    </row>
    <row r="220" customFormat="false" ht="14.25" hidden="false" customHeight="true" outlineLevel="0" collapsed="false">
      <c r="C220" s="11"/>
      <c r="K220" s="11"/>
      <c r="L220" s="11"/>
      <c r="O220" s="11"/>
    </row>
    <row r="221" customFormat="false" ht="14.25" hidden="false" customHeight="true" outlineLevel="0" collapsed="false">
      <c r="C221" s="11"/>
      <c r="K221" s="11"/>
      <c r="L221" s="11"/>
      <c r="O221" s="11"/>
    </row>
    <row r="222" customFormat="false" ht="14.25" hidden="false" customHeight="true" outlineLevel="0" collapsed="false">
      <c r="C222" s="11"/>
      <c r="K222" s="11"/>
      <c r="L222" s="11"/>
      <c r="O222" s="11"/>
    </row>
    <row r="223" customFormat="false" ht="14.25" hidden="false" customHeight="true" outlineLevel="0" collapsed="false">
      <c r="C223" s="11"/>
      <c r="K223" s="11"/>
      <c r="L223" s="11"/>
      <c r="O223" s="11"/>
    </row>
    <row r="224" customFormat="false" ht="14.25" hidden="false" customHeight="true" outlineLevel="0" collapsed="false">
      <c r="C224" s="11"/>
      <c r="K224" s="11"/>
      <c r="L224" s="11"/>
      <c r="O224" s="11"/>
    </row>
    <row r="225" customFormat="false" ht="14.25" hidden="false" customHeight="true" outlineLevel="0" collapsed="false">
      <c r="C225" s="11"/>
      <c r="K225" s="11"/>
      <c r="L225" s="11"/>
      <c r="O225" s="11"/>
    </row>
    <row r="226" customFormat="false" ht="14.25" hidden="false" customHeight="true" outlineLevel="0" collapsed="false">
      <c r="C226" s="11"/>
      <c r="K226" s="11"/>
      <c r="L226" s="11"/>
      <c r="O226" s="11"/>
    </row>
    <row r="227" customFormat="false" ht="14.25" hidden="false" customHeight="true" outlineLevel="0" collapsed="false">
      <c r="C227" s="11"/>
      <c r="K227" s="11"/>
      <c r="L227" s="11"/>
      <c r="O227" s="11"/>
    </row>
    <row r="228" customFormat="false" ht="14.25" hidden="false" customHeight="true" outlineLevel="0" collapsed="false">
      <c r="C228" s="11"/>
      <c r="K228" s="11"/>
      <c r="L228" s="11"/>
      <c r="O228" s="11"/>
    </row>
    <row r="229" customFormat="false" ht="14.25" hidden="false" customHeight="true" outlineLevel="0" collapsed="false">
      <c r="C229" s="11"/>
      <c r="K229" s="11"/>
      <c r="L229" s="11"/>
      <c r="O229" s="11"/>
    </row>
    <row r="230" customFormat="false" ht="14.25" hidden="false" customHeight="true" outlineLevel="0" collapsed="false">
      <c r="C230" s="11"/>
      <c r="K230" s="11"/>
      <c r="L230" s="11"/>
      <c r="O230" s="11"/>
    </row>
    <row r="231" customFormat="false" ht="14.25" hidden="false" customHeight="true" outlineLevel="0" collapsed="false">
      <c r="C231" s="11"/>
      <c r="K231" s="11"/>
      <c r="L231" s="11"/>
      <c r="O231" s="11"/>
    </row>
    <row r="232" customFormat="false" ht="14.25" hidden="false" customHeight="true" outlineLevel="0" collapsed="false">
      <c r="C232" s="11"/>
      <c r="K232" s="11"/>
      <c r="L232" s="11"/>
      <c r="O232" s="11"/>
    </row>
    <row r="233" customFormat="false" ht="14.25" hidden="false" customHeight="true" outlineLevel="0" collapsed="false">
      <c r="C233" s="11"/>
      <c r="K233" s="11"/>
      <c r="L233" s="11"/>
      <c r="O233" s="11"/>
    </row>
    <row r="234" customFormat="false" ht="14.25" hidden="false" customHeight="true" outlineLevel="0" collapsed="false">
      <c r="C234" s="11"/>
      <c r="K234" s="11"/>
      <c r="L234" s="11"/>
      <c r="O234" s="11"/>
    </row>
    <row r="235" customFormat="false" ht="14.25" hidden="false" customHeight="true" outlineLevel="0" collapsed="false">
      <c r="C235" s="11"/>
      <c r="K235" s="11"/>
      <c r="L235" s="11"/>
      <c r="O235" s="11"/>
    </row>
    <row r="236" customFormat="false" ht="14.25" hidden="false" customHeight="true" outlineLevel="0" collapsed="false">
      <c r="C236" s="11"/>
      <c r="K236" s="11"/>
      <c r="L236" s="11"/>
      <c r="O236" s="11"/>
    </row>
    <row r="237" customFormat="false" ht="14.25" hidden="false" customHeight="true" outlineLevel="0" collapsed="false">
      <c r="C237" s="11"/>
      <c r="K237" s="11"/>
      <c r="L237" s="11"/>
      <c r="O237" s="11"/>
    </row>
    <row r="238" customFormat="false" ht="14.25" hidden="false" customHeight="true" outlineLevel="0" collapsed="false">
      <c r="C238" s="11"/>
      <c r="K238" s="11"/>
      <c r="L238" s="11"/>
      <c r="O238" s="11"/>
    </row>
    <row r="239" customFormat="false" ht="14.25" hidden="false" customHeight="true" outlineLevel="0" collapsed="false">
      <c r="C239" s="11"/>
      <c r="K239" s="11"/>
      <c r="L239" s="11"/>
      <c r="O239" s="11"/>
    </row>
    <row r="240" customFormat="false" ht="14.25" hidden="false" customHeight="true" outlineLevel="0" collapsed="false">
      <c r="C240" s="11"/>
      <c r="K240" s="11"/>
      <c r="L240" s="11"/>
      <c r="O240" s="11"/>
    </row>
    <row r="241" customFormat="false" ht="14.25" hidden="false" customHeight="true" outlineLevel="0" collapsed="false">
      <c r="C241" s="11"/>
      <c r="K241" s="11"/>
      <c r="L241" s="11"/>
      <c r="O241" s="11"/>
    </row>
    <row r="242" customFormat="false" ht="14.25" hidden="false" customHeight="true" outlineLevel="0" collapsed="false">
      <c r="C242" s="11"/>
      <c r="K242" s="11"/>
      <c r="L242" s="11"/>
      <c r="O242" s="11"/>
    </row>
    <row r="243" customFormat="false" ht="14.25" hidden="false" customHeight="true" outlineLevel="0" collapsed="false">
      <c r="C243" s="11"/>
      <c r="K243" s="11"/>
      <c r="L243" s="11"/>
      <c r="O243" s="11"/>
    </row>
    <row r="244" customFormat="false" ht="14.25" hidden="false" customHeight="true" outlineLevel="0" collapsed="false">
      <c r="C244" s="11"/>
      <c r="K244" s="11"/>
      <c r="L244" s="11"/>
      <c r="O244" s="11"/>
    </row>
    <row r="245" customFormat="false" ht="14.25" hidden="false" customHeight="true" outlineLevel="0" collapsed="false">
      <c r="C245" s="11"/>
      <c r="K245" s="11"/>
      <c r="L245" s="11"/>
      <c r="O245" s="11"/>
    </row>
    <row r="246" customFormat="false" ht="14.25" hidden="false" customHeight="true" outlineLevel="0" collapsed="false">
      <c r="C246" s="11"/>
      <c r="K246" s="11"/>
      <c r="L246" s="11"/>
      <c r="O246" s="11"/>
    </row>
    <row r="247" customFormat="false" ht="14.25" hidden="false" customHeight="true" outlineLevel="0" collapsed="false">
      <c r="C247" s="11"/>
      <c r="K247" s="11"/>
      <c r="L247" s="11"/>
      <c r="O247" s="11"/>
    </row>
    <row r="248" customFormat="false" ht="14.25" hidden="false" customHeight="true" outlineLevel="0" collapsed="false">
      <c r="C248" s="11"/>
      <c r="K248" s="11"/>
      <c r="L248" s="11"/>
      <c r="O248" s="11"/>
    </row>
    <row r="249" customFormat="false" ht="14.25" hidden="false" customHeight="true" outlineLevel="0" collapsed="false">
      <c r="C249" s="11"/>
      <c r="K249" s="11"/>
      <c r="L249" s="11"/>
      <c r="O249" s="11"/>
    </row>
    <row r="250" customFormat="false" ht="14.25" hidden="false" customHeight="true" outlineLevel="0" collapsed="false">
      <c r="C250" s="11"/>
      <c r="K250" s="11"/>
      <c r="L250" s="11"/>
      <c r="O250" s="11"/>
    </row>
    <row r="251" customFormat="false" ht="14.25" hidden="false" customHeight="true" outlineLevel="0" collapsed="false">
      <c r="C251" s="11"/>
      <c r="K251" s="11"/>
      <c r="L251" s="11"/>
      <c r="O251" s="11"/>
    </row>
    <row r="252" customFormat="false" ht="14.25" hidden="false" customHeight="true" outlineLevel="0" collapsed="false">
      <c r="C252" s="11"/>
      <c r="K252" s="11"/>
      <c r="L252" s="11"/>
      <c r="O252" s="11"/>
    </row>
    <row r="253" customFormat="false" ht="14.25" hidden="false" customHeight="true" outlineLevel="0" collapsed="false">
      <c r="C253" s="11"/>
      <c r="K253" s="11"/>
      <c r="L253" s="11"/>
      <c r="O253" s="11"/>
    </row>
    <row r="254" customFormat="false" ht="14.25" hidden="false" customHeight="true" outlineLevel="0" collapsed="false">
      <c r="C254" s="11"/>
      <c r="K254" s="11"/>
      <c r="L254" s="11"/>
      <c r="O254" s="11"/>
    </row>
    <row r="255" customFormat="false" ht="14.25" hidden="false" customHeight="true" outlineLevel="0" collapsed="false">
      <c r="C255" s="11"/>
      <c r="K255" s="11"/>
      <c r="L255" s="11"/>
      <c r="O255" s="11"/>
    </row>
    <row r="256" customFormat="false" ht="14.25" hidden="false" customHeight="true" outlineLevel="0" collapsed="false">
      <c r="C256" s="11"/>
      <c r="K256" s="11"/>
      <c r="L256" s="11"/>
      <c r="O256" s="11"/>
    </row>
    <row r="257" customFormat="false" ht="14.25" hidden="false" customHeight="true" outlineLevel="0" collapsed="false">
      <c r="C257" s="11"/>
      <c r="K257" s="11"/>
      <c r="L257" s="11"/>
      <c r="O257" s="11"/>
    </row>
    <row r="258" customFormat="false" ht="14.25" hidden="false" customHeight="true" outlineLevel="0" collapsed="false">
      <c r="C258" s="11"/>
      <c r="K258" s="11"/>
      <c r="L258" s="11"/>
      <c r="O258" s="11"/>
    </row>
    <row r="259" customFormat="false" ht="14.25" hidden="false" customHeight="true" outlineLevel="0" collapsed="false">
      <c r="C259" s="11"/>
      <c r="K259" s="11"/>
      <c r="L259" s="11"/>
      <c r="O259" s="11"/>
    </row>
    <row r="260" customFormat="false" ht="14.25" hidden="false" customHeight="true" outlineLevel="0" collapsed="false">
      <c r="C260" s="11"/>
      <c r="K260" s="11"/>
      <c r="L260" s="11"/>
      <c r="O260" s="11"/>
    </row>
    <row r="261" customFormat="false" ht="14.25" hidden="false" customHeight="true" outlineLevel="0" collapsed="false">
      <c r="C261" s="11"/>
      <c r="K261" s="11"/>
      <c r="L261" s="11"/>
      <c r="O261" s="11"/>
    </row>
    <row r="262" customFormat="false" ht="14.25" hidden="false" customHeight="true" outlineLevel="0" collapsed="false">
      <c r="C262" s="11"/>
      <c r="K262" s="11"/>
      <c r="L262" s="11"/>
      <c r="O262" s="11"/>
    </row>
    <row r="263" customFormat="false" ht="14.25" hidden="false" customHeight="true" outlineLevel="0" collapsed="false">
      <c r="C263" s="11"/>
      <c r="K263" s="11"/>
      <c r="L263" s="11"/>
      <c r="O263" s="11"/>
    </row>
    <row r="264" customFormat="false" ht="14.25" hidden="false" customHeight="true" outlineLevel="0" collapsed="false">
      <c r="C264" s="11"/>
      <c r="K264" s="11"/>
      <c r="L264" s="11"/>
      <c r="O264" s="11"/>
    </row>
    <row r="265" customFormat="false" ht="14.25" hidden="false" customHeight="true" outlineLevel="0" collapsed="false">
      <c r="C265" s="11"/>
      <c r="K265" s="11"/>
      <c r="L265" s="11"/>
      <c r="O265" s="11"/>
    </row>
    <row r="266" customFormat="false" ht="14.25" hidden="false" customHeight="true" outlineLevel="0" collapsed="false">
      <c r="C266" s="11"/>
      <c r="K266" s="11"/>
      <c r="L266" s="11"/>
      <c r="O266" s="11"/>
    </row>
    <row r="267" customFormat="false" ht="14.25" hidden="false" customHeight="true" outlineLevel="0" collapsed="false">
      <c r="C267" s="11"/>
      <c r="K267" s="11"/>
      <c r="L267" s="11"/>
      <c r="O267" s="11"/>
    </row>
    <row r="268" customFormat="false" ht="14.25" hidden="false" customHeight="true" outlineLevel="0" collapsed="false">
      <c r="C268" s="11"/>
      <c r="K268" s="11"/>
      <c r="L268" s="11"/>
      <c r="O268" s="11"/>
    </row>
    <row r="269" customFormat="false" ht="14.25" hidden="false" customHeight="true" outlineLevel="0" collapsed="false">
      <c r="C269" s="11"/>
      <c r="K269" s="11"/>
      <c r="L269" s="11"/>
      <c r="O269" s="11"/>
    </row>
    <row r="270" customFormat="false" ht="14.25" hidden="false" customHeight="true" outlineLevel="0" collapsed="false">
      <c r="C270" s="11"/>
      <c r="K270" s="11"/>
      <c r="L270" s="11"/>
      <c r="O270" s="11"/>
    </row>
    <row r="271" customFormat="false" ht="14.25" hidden="false" customHeight="true" outlineLevel="0" collapsed="false">
      <c r="C271" s="11"/>
      <c r="K271" s="11"/>
      <c r="L271" s="11"/>
      <c r="O271" s="11"/>
    </row>
    <row r="272" customFormat="false" ht="14.25" hidden="false" customHeight="true" outlineLevel="0" collapsed="false">
      <c r="C272" s="11"/>
      <c r="K272" s="11"/>
      <c r="L272" s="11"/>
      <c r="O272" s="11"/>
    </row>
    <row r="273" customFormat="false" ht="14.25" hidden="false" customHeight="true" outlineLevel="0" collapsed="false">
      <c r="C273" s="11"/>
      <c r="K273" s="11"/>
      <c r="L273" s="11"/>
      <c r="O273" s="11"/>
    </row>
    <row r="274" customFormat="false" ht="14.25" hidden="false" customHeight="true" outlineLevel="0" collapsed="false">
      <c r="C274" s="11"/>
      <c r="K274" s="11"/>
      <c r="L274" s="11"/>
      <c r="O274" s="11"/>
    </row>
    <row r="275" customFormat="false" ht="14.25" hidden="false" customHeight="true" outlineLevel="0" collapsed="false">
      <c r="C275" s="11"/>
      <c r="K275" s="11"/>
      <c r="L275" s="11"/>
      <c r="O275" s="11"/>
    </row>
    <row r="276" customFormat="false" ht="14.25" hidden="false" customHeight="true" outlineLevel="0" collapsed="false">
      <c r="C276" s="11"/>
      <c r="K276" s="11"/>
      <c r="L276" s="11"/>
      <c r="O276" s="11"/>
    </row>
    <row r="277" customFormat="false" ht="14.25" hidden="false" customHeight="true" outlineLevel="0" collapsed="false">
      <c r="C277" s="11"/>
      <c r="K277" s="11"/>
      <c r="L277" s="11"/>
      <c r="O277" s="11"/>
    </row>
    <row r="278" customFormat="false" ht="14.25" hidden="false" customHeight="true" outlineLevel="0" collapsed="false">
      <c r="C278" s="11"/>
      <c r="K278" s="11"/>
      <c r="L278" s="11"/>
      <c r="O278" s="11"/>
    </row>
    <row r="279" customFormat="false" ht="14.25" hidden="false" customHeight="true" outlineLevel="0" collapsed="false">
      <c r="C279" s="11"/>
      <c r="K279" s="11"/>
      <c r="L279" s="11"/>
      <c r="O279" s="11"/>
    </row>
    <row r="280" customFormat="false" ht="14.25" hidden="false" customHeight="true" outlineLevel="0" collapsed="false">
      <c r="C280" s="11"/>
      <c r="K280" s="11"/>
      <c r="L280" s="11"/>
      <c r="O280" s="11"/>
    </row>
    <row r="281" customFormat="false" ht="14.25" hidden="false" customHeight="true" outlineLevel="0" collapsed="false">
      <c r="C281" s="11"/>
      <c r="K281" s="11"/>
      <c r="L281" s="11"/>
      <c r="O281" s="11"/>
    </row>
    <row r="282" customFormat="false" ht="14.25" hidden="false" customHeight="true" outlineLevel="0" collapsed="false">
      <c r="C282" s="11"/>
      <c r="K282" s="11"/>
      <c r="L282" s="11"/>
      <c r="O282" s="11"/>
    </row>
    <row r="283" customFormat="false" ht="14.25" hidden="false" customHeight="true" outlineLevel="0" collapsed="false">
      <c r="C283" s="11"/>
      <c r="K283" s="11"/>
      <c r="L283" s="11"/>
      <c r="O283" s="11"/>
    </row>
    <row r="284" customFormat="false" ht="14.25" hidden="false" customHeight="true" outlineLevel="0" collapsed="false">
      <c r="C284" s="11"/>
      <c r="K284" s="11"/>
      <c r="L284" s="11"/>
      <c r="O284" s="11"/>
    </row>
    <row r="285" customFormat="false" ht="14.25" hidden="false" customHeight="true" outlineLevel="0" collapsed="false">
      <c r="C285" s="11"/>
      <c r="K285" s="11"/>
      <c r="L285" s="11"/>
      <c r="O285" s="11"/>
    </row>
    <row r="286" customFormat="false" ht="14.25" hidden="false" customHeight="true" outlineLevel="0" collapsed="false">
      <c r="C286" s="11"/>
      <c r="K286" s="11"/>
      <c r="L286" s="11"/>
      <c r="O286" s="11"/>
    </row>
    <row r="287" customFormat="false" ht="14.25" hidden="false" customHeight="true" outlineLevel="0" collapsed="false">
      <c r="C287" s="11"/>
      <c r="K287" s="11"/>
      <c r="L287" s="11"/>
      <c r="O287" s="11"/>
    </row>
    <row r="288" customFormat="false" ht="14.25" hidden="false" customHeight="true" outlineLevel="0" collapsed="false">
      <c r="C288" s="11"/>
      <c r="K288" s="11"/>
      <c r="L288" s="11"/>
      <c r="O288" s="11"/>
    </row>
    <row r="289" customFormat="false" ht="14.25" hidden="false" customHeight="true" outlineLevel="0" collapsed="false">
      <c r="C289" s="11"/>
      <c r="K289" s="11"/>
      <c r="L289" s="11"/>
      <c r="O289" s="11"/>
    </row>
    <row r="290" customFormat="false" ht="14.25" hidden="false" customHeight="true" outlineLevel="0" collapsed="false">
      <c r="C290" s="11"/>
      <c r="K290" s="11"/>
      <c r="L290" s="11"/>
      <c r="O290" s="11"/>
    </row>
    <row r="291" customFormat="false" ht="14.25" hidden="false" customHeight="true" outlineLevel="0" collapsed="false">
      <c r="C291" s="11"/>
      <c r="K291" s="11"/>
      <c r="L291" s="11"/>
      <c r="O291" s="11"/>
    </row>
    <row r="292" customFormat="false" ht="14.25" hidden="false" customHeight="true" outlineLevel="0" collapsed="false">
      <c r="C292" s="11"/>
      <c r="K292" s="11"/>
      <c r="L292" s="11"/>
      <c r="O292" s="11"/>
    </row>
    <row r="293" customFormat="false" ht="14.25" hidden="false" customHeight="true" outlineLevel="0" collapsed="false">
      <c r="C293" s="11"/>
      <c r="K293" s="11"/>
      <c r="L293" s="11"/>
      <c r="O293" s="11"/>
    </row>
    <row r="294" customFormat="false" ht="14.25" hidden="false" customHeight="true" outlineLevel="0" collapsed="false">
      <c r="C294" s="11"/>
      <c r="K294" s="11"/>
      <c r="L294" s="11"/>
      <c r="O294" s="11"/>
    </row>
    <row r="295" customFormat="false" ht="14.25" hidden="false" customHeight="true" outlineLevel="0" collapsed="false">
      <c r="C295" s="11"/>
      <c r="K295" s="11"/>
      <c r="L295" s="11"/>
      <c r="O295" s="11"/>
    </row>
    <row r="296" customFormat="false" ht="14.25" hidden="false" customHeight="true" outlineLevel="0" collapsed="false">
      <c r="C296" s="11"/>
      <c r="K296" s="11"/>
      <c r="L296" s="11"/>
      <c r="O296" s="11"/>
    </row>
    <row r="297" customFormat="false" ht="14.25" hidden="false" customHeight="true" outlineLevel="0" collapsed="false">
      <c r="C297" s="11"/>
      <c r="K297" s="11"/>
      <c r="L297" s="11"/>
      <c r="O297" s="11"/>
    </row>
    <row r="298" customFormat="false" ht="14.25" hidden="false" customHeight="true" outlineLevel="0" collapsed="false">
      <c r="C298" s="11"/>
      <c r="K298" s="11"/>
      <c r="L298" s="11"/>
      <c r="O298" s="11"/>
    </row>
    <row r="299" customFormat="false" ht="14.25" hidden="false" customHeight="true" outlineLevel="0" collapsed="false">
      <c r="C299" s="11"/>
      <c r="K299" s="11"/>
      <c r="L299" s="11"/>
      <c r="O299" s="11"/>
    </row>
    <row r="300" customFormat="false" ht="14.25" hidden="false" customHeight="true" outlineLevel="0" collapsed="false">
      <c r="C300" s="11"/>
      <c r="K300" s="11"/>
      <c r="L300" s="11"/>
      <c r="O300" s="11"/>
    </row>
    <row r="301" customFormat="false" ht="14.25" hidden="false" customHeight="true" outlineLevel="0" collapsed="false">
      <c r="C301" s="11"/>
      <c r="K301" s="11"/>
      <c r="L301" s="11"/>
      <c r="O301" s="11"/>
    </row>
    <row r="302" customFormat="false" ht="14.25" hidden="false" customHeight="true" outlineLevel="0" collapsed="false">
      <c r="C302" s="11"/>
      <c r="K302" s="11"/>
      <c r="L302" s="11"/>
      <c r="O302" s="11"/>
    </row>
    <row r="303" customFormat="false" ht="14.25" hidden="false" customHeight="true" outlineLevel="0" collapsed="false">
      <c r="C303" s="11"/>
      <c r="K303" s="11"/>
      <c r="L303" s="11"/>
      <c r="O303" s="11"/>
    </row>
    <row r="304" customFormat="false" ht="14.25" hidden="false" customHeight="true" outlineLevel="0" collapsed="false">
      <c r="C304" s="11"/>
      <c r="K304" s="11"/>
      <c r="L304" s="11"/>
      <c r="O304" s="11"/>
    </row>
    <row r="305" customFormat="false" ht="14.25" hidden="false" customHeight="true" outlineLevel="0" collapsed="false">
      <c r="C305" s="11"/>
      <c r="K305" s="11"/>
      <c r="L305" s="11"/>
      <c r="O305" s="11"/>
    </row>
    <row r="306" customFormat="false" ht="14.25" hidden="false" customHeight="true" outlineLevel="0" collapsed="false">
      <c r="C306" s="11"/>
      <c r="K306" s="11"/>
      <c r="L306" s="11"/>
      <c r="O306" s="11"/>
    </row>
    <row r="307" customFormat="false" ht="14.25" hidden="false" customHeight="true" outlineLevel="0" collapsed="false">
      <c r="C307" s="11"/>
      <c r="K307" s="11"/>
      <c r="L307" s="11"/>
      <c r="O307" s="11"/>
    </row>
    <row r="308" customFormat="false" ht="14.25" hidden="false" customHeight="true" outlineLevel="0" collapsed="false">
      <c r="C308" s="11"/>
      <c r="K308" s="11"/>
      <c r="L308" s="11"/>
      <c r="O308" s="11"/>
    </row>
    <row r="309" customFormat="false" ht="14.25" hidden="false" customHeight="true" outlineLevel="0" collapsed="false">
      <c r="C309" s="11"/>
      <c r="K309" s="11"/>
      <c r="L309" s="11"/>
      <c r="O309" s="11"/>
    </row>
    <row r="310" customFormat="false" ht="14.25" hidden="false" customHeight="true" outlineLevel="0" collapsed="false">
      <c r="C310" s="11"/>
      <c r="K310" s="11"/>
      <c r="L310" s="11"/>
      <c r="O310" s="11"/>
    </row>
    <row r="311" customFormat="false" ht="14.25" hidden="false" customHeight="true" outlineLevel="0" collapsed="false">
      <c r="C311" s="11"/>
      <c r="K311" s="11"/>
      <c r="L311" s="11"/>
      <c r="O311" s="11"/>
    </row>
    <row r="312" customFormat="false" ht="14.25" hidden="false" customHeight="true" outlineLevel="0" collapsed="false">
      <c r="C312" s="11"/>
      <c r="K312" s="11"/>
      <c r="L312" s="11"/>
      <c r="O312" s="11"/>
    </row>
    <row r="313" customFormat="false" ht="14.25" hidden="false" customHeight="true" outlineLevel="0" collapsed="false">
      <c r="C313" s="11"/>
      <c r="K313" s="11"/>
      <c r="L313" s="11"/>
      <c r="O313" s="11"/>
    </row>
    <row r="314" customFormat="false" ht="14.25" hidden="false" customHeight="true" outlineLevel="0" collapsed="false">
      <c r="C314" s="11"/>
      <c r="K314" s="11"/>
      <c r="L314" s="11"/>
      <c r="O314" s="11"/>
    </row>
    <row r="315" customFormat="false" ht="14.25" hidden="false" customHeight="true" outlineLevel="0" collapsed="false">
      <c r="C315" s="11"/>
      <c r="K315" s="11"/>
      <c r="L315" s="11"/>
      <c r="O315" s="11"/>
    </row>
    <row r="316" customFormat="false" ht="14.25" hidden="false" customHeight="true" outlineLevel="0" collapsed="false">
      <c r="C316" s="11"/>
      <c r="K316" s="11"/>
      <c r="L316" s="11"/>
      <c r="O316" s="11"/>
    </row>
    <row r="317" customFormat="false" ht="14.25" hidden="false" customHeight="true" outlineLevel="0" collapsed="false">
      <c r="C317" s="11"/>
      <c r="K317" s="11"/>
      <c r="L317" s="11"/>
      <c r="O317" s="11"/>
    </row>
    <row r="318" customFormat="false" ht="14.25" hidden="false" customHeight="true" outlineLevel="0" collapsed="false">
      <c r="C318" s="11"/>
      <c r="K318" s="11"/>
      <c r="L318" s="11"/>
      <c r="O318" s="11"/>
    </row>
    <row r="319" customFormat="false" ht="14.25" hidden="false" customHeight="true" outlineLevel="0" collapsed="false">
      <c r="C319" s="11"/>
      <c r="K319" s="11"/>
      <c r="L319" s="11"/>
      <c r="O319" s="11"/>
    </row>
    <row r="320" customFormat="false" ht="14.25" hidden="false" customHeight="true" outlineLevel="0" collapsed="false">
      <c r="C320" s="11"/>
      <c r="K320" s="11"/>
      <c r="L320" s="11"/>
      <c r="O320" s="11"/>
    </row>
    <row r="321" customFormat="false" ht="14.25" hidden="false" customHeight="true" outlineLevel="0" collapsed="false">
      <c r="C321" s="11"/>
      <c r="K321" s="11"/>
      <c r="L321" s="11"/>
      <c r="O321" s="11"/>
    </row>
    <row r="322" customFormat="false" ht="14.25" hidden="false" customHeight="true" outlineLevel="0" collapsed="false">
      <c r="C322" s="11"/>
      <c r="K322" s="11"/>
      <c r="L322" s="11"/>
      <c r="O322" s="11"/>
    </row>
    <row r="323" customFormat="false" ht="14.25" hidden="false" customHeight="true" outlineLevel="0" collapsed="false">
      <c r="C323" s="11"/>
      <c r="K323" s="11"/>
      <c r="L323" s="11"/>
      <c r="O323" s="11"/>
    </row>
    <row r="324" customFormat="false" ht="14.25" hidden="false" customHeight="true" outlineLevel="0" collapsed="false">
      <c r="C324" s="11"/>
      <c r="K324" s="11"/>
      <c r="L324" s="11"/>
      <c r="O324" s="11"/>
    </row>
    <row r="325" customFormat="false" ht="14.25" hidden="false" customHeight="true" outlineLevel="0" collapsed="false">
      <c r="C325" s="11"/>
      <c r="K325" s="11"/>
      <c r="L325" s="11"/>
      <c r="O325" s="11"/>
    </row>
    <row r="326" customFormat="false" ht="14.25" hidden="false" customHeight="true" outlineLevel="0" collapsed="false">
      <c r="C326" s="11"/>
      <c r="K326" s="11"/>
      <c r="L326" s="11"/>
      <c r="O326" s="11"/>
    </row>
    <row r="327" customFormat="false" ht="14.25" hidden="false" customHeight="true" outlineLevel="0" collapsed="false">
      <c r="C327" s="11"/>
      <c r="K327" s="11"/>
      <c r="L327" s="11"/>
      <c r="O327" s="11"/>
    </row>
    <row r="328" customFormat="false" ht="14.25" hidden="false" customHeight="true" outlineLevel="0" collapsed="false">
      <c r="C328" s="11"/>
      <c r="K328" s="11"/>
      <c r="L328" s="11"/>
      <c r="O328" s="11"/>
    </row>
    <row r="329" customFormat="false" ht="14.25" hidden="false" customHeight="true" outlineLevel="0" collapsed="false">
      <c r="C329" s="11"/>
      <c r="K329" s="11"/>
      <c r="L329" s="11"/>
      <c r="O329" s="11"/>
    </row>
    <row r="330" customFormat="false" ht="14.25" hidden="false" customHeight="true" outlineLevel="0" collapsed="false">
      <c r="C330" s="11"/>
      <c r="K330" s="11"/>
      <c r="L330" s="11"/>
      <c r="O330" s="11"/>
    </row>
    <row r="331" customFormat="false" ht="14.25" hidden="false" customHeight="true" outlineLevel="0" collapsed="false">
      <c r="C331" s="11"/>
      <c r="K331" s="11"/>
      <c r="L331" s="11"/>
      <c r="O331" s="11"/>
    </row>
    <row r="332" customFormat="false" ht="14.25" hidden="false" customHeight="true" outlineLevel="0" collapsed="false">
      <c r="C332" s="11"/>
      <c r="K332" s="11"/>
      <c r="L332" s="11"/>
      <c r="O332" s="11"/>
    </row>
    <row r="333" customFormat="false" ht="14.25" hidden="false" customHeight="true" outlineLevel="0" collapsed="false">
      <c r="C333" s="11"/>
      <c r="K333" s="11"/>
      <c r="L333" s="11"/>
      <c r="O333" s="11"/>
    </row>
    <row r="334" customFormat="false" ht="14.25" hidden="false" customHeight="true" outlineLevel="0" collapsed="false">
      <c r="C334" s="11"/>
      <c r="K334" s="11"/>
      <c r="L334" s="11"/>
      <c r="O334" s="11"/>
    </row>
    <row r="335" customFormat="false" ht="14.25" hidden="false" customHeight="true" outlineLevel="0" collapsed="false">
      <c r="C335" s="11"/>
      <c r="K335" s="11"/>
      <c r="L335" s="11"/>
      <c r="O335" s="11"/>
    </row>
    <row r="336" customFormat="false" ht="14.25" hidden="false" customHeight="true" outlineLevel="0" collapsed="false">
      <c r="C336" s="11"/>
      <c r="K336" s="11"/>
      <c r="L336" s="11"/>
      <c r="O336" s="11"/>
    </row>
    <row r="337" customFormat="false" ht="14.25" hidden="false" customHeight="true" outlineLevel="0" collapsed="false">
      <c r="C337" s="11"/>
      <c r="K337" s="11"/>
      <c r="L337" s="11"/>
      <c r="O337" s="11"/>
    </row>
    <row r="338" customFormat="false" ht="14.25" hidden="false" customHeight="true" outlineLevel="0" collapsed="false">
      <c r="C338" s="11"/>
      <c r="K338" s="11"/>
      <c r="L338" s="11"/>
      <c r="O338" s="11"/>
    </row>
    <row r="339" customFormat="false" ht="14.25" hidden="false" customHeight="true" outlineLevel="0" collapsed="false">
      <c r="C339" s="11"/>
      <c r="K339" s="11"/>
      <c r="L339" s="11"/>
      <c r="O339" s="11"/>
    </row>
    <row r="340" customFormat="false" ht="14.25" hidden="false" customHeight="true" outlineLevel="0" collapsed="false">
      <c r="C340" s="11"/>
      <c r="K340" s="11"/>
      <c r="L340" s="11"/>
      <c r="O340" s="11"/>
    </row>
    <row r="341" customFormat="false" ht="14.25" hidden="false" customHeight="true" outlineLevel="0" collapsed="false">
      <c r="C341" s="11"/>
      <c r="K341" s="11"/>
      <c r="L341" s="11"/>
      <c r="O341" s="11"/>
    </row>
    <row r="342" customFormat="false" ht="14.25" hidden="false" customHeight="true" outlineLevel="0" collapsed="false">
      <c r="C342" s="11"/>
      <c r="K342" s="11"/>
      <c r="L342" s="11"/>
      <c r="O342" s="11"/>
    </row>
    <row r="343" customFormat="false" ht="14.25" hidden="false" customHeight="true" outlineLevel="0" collapsed="false">
      <c r="C343" s="11"/>
      <c r="K343" s="11"/>
      <c r="L343" s="11"/>
      <c r="O343" s="11"/>
    </row>
    <row r="344" customFormat="false" ht="14.25" hidden="false" customHeight="true" outlineLevel="0" collapsed="false">
      <c r="C344" s="11"/>
      <c r="K344" s="11"/>
      <c r="L344" s="11"/>
      <c r="O344" s="11"/>
    </row>
    <row r="345" customFormat="false" ht="14.25" hidden="false" customHeight="true" outlineLevel="0" collapsed="false">
      <c r="C345" s="11"/>
      <c r="K345" s="11"/>
      <c r="L345" s="11"/>
      <c r="O345" s="11"/>
    </row>
    <row r="346" customFormat="false" ht="14.25" hidden="false" customHeight="true" outlineLevel="0" collapsed="false">
      <c r="C346" s="11"/>
      <c r="K346" s="11"/>
      <c r="L346" s="11"/>
      <c r="O346" s="11"/>
    </row>
    <row r="347" customFormat="false" ht="14.25" hidden="false" customHeight="true" outlineLevel="0" collapsed="false">
      <c r="C347" s="11"/>
      <c r="K347" s="11"/>
      <c r="L347" s="11"/>
      <c r="O347" s="11"/>
    </row>
    <row r="348" customFormat="false" ht="14.25" hidden="false" customHeight="true" outlineLevel="0" collapsed="false">
      <c r="C348" s="11"/>
      <c r="K348" s="11"/>
      <c r="L348" s="11"/>
      <c r="O348" s="11"/>
    </row>
    <row r="349" customFormat="false" ht="14.25" hidden="false" customHeight="true" outlineLevel="0" collapsed="false">
      <c r="C349" s="11"/>
      <c r="K349" s="11"/>
      <c r="L349" s="11"/>
      <c r="O349" s="11"/>
    </row>
    <row r="350" customFormat="false" ht="14.25" hidden="false" customHeight="true" outlineLevel="0" collapsed="false">
      <c r="C350" s="11"/>
      <c r="K350" s="11"/>
      <c r="L350" s="11"/>
      <c r="O350" s="11"/>
    </row>
    <row r="351" customFormat="false" ht="14.25" hidden="false" customHeight="true" outlineLevel="0" collapsed="false">
      <c r="C351" s="11"/>
      <c r="K351" s="11"/>
      <c r="L351" s="11"/>
      <c r="O351" s="11"/>
    </row>
    <row r="352" customFormat="false" ht="14.25" hidden="false" customHeight="true" outlineLevel="0" collapsed="false">
      <c r="C352" s="11"/>
      <c r="K352" s="11"/>
      <c r="L352" s="11"/>
      <c r="O352" s="11"/>
    </row>
    <row r="353" customFormat="false" ht="14.25" hidden="false" customHeight="true" outlineLevel="0" collapsed="false">
      <c r="C353" s="11"/>
      <c r="K353" s="11"/>
      <c r="L353" s="11"/>
      <c r="O353" s="11"/>
    </row>
    <row r="354" customFormat="false" ht="14.25" hidden="false" customHeight="true" outlineLevel="0" collapsed="false">
      <c r="C354" s="11"/>
      <c r="K354" s="11"/>
      <c r="L354" s="11"/>
      <c r="O354" s="11"/>
    </row>
    <row r="355" customFormat="false" ht="14.25" hidden="false" customHeight="true" outlineLevel="0" collapsed="false">
      <c r="C355" s="11"/>
      <c r="K355" s="11"/>
      <c r="L355" s="11"/>
      <c r="O355" s="11"/>
    </row>
    <row r="356" customFormat="false" ht="14.25" hidden="false" customHeight="true" outlineLevel="0" collapsed="false">
      <c r="C356" s="11"/>
      <c r="K356" s="11"/>
      <c r="L356" s="11"/>
      <c r="O356" s="11"/>
    </row>
    <row r="357" customFormat="false" ht="14.25" hidden="false" customHeight="true" outlineLevel="0" collapsed="false">
      <c r="C357" s="11"/>
      <c r="K357" s="11"/>
      <c r="L357" s="11"/>
      <c r="O357" s="11"/>
    </row>
    <row r="358" customFormat="false" ht="14.25" hidden="false" customHeight="true" outlineLevel="0" collapsed="false">
      <c r="C358" s="11"/>
      <c r="K358" s="11"/>
      <c r="L358" s="11"/>
      <c r="O358" s="11"/>
    </row>
    <row r="359" customFormat="false" ht="14.25" hidden="false" customHeight="true" outlineLevel="0" collapsed="false">
      <c r="C359" s="11"/>
      <c r="K359" s="11"/>
      <c r="L359" s="11"/>
      <c r="O359" s="11"/>
    </row>
    <row r="360" customFormat="false" ht="14.25" hidden="false" customHeight="true" outlineLevel="0" collapsed="false">
      <c r="C360" s="11"/>
      <c r="K360" s="11"/>
      <c r="L360" s="11"/>
      <c r="O360" s="11"/>
    </row>
    <row r="361" customFormat="false" ht="14.25" hidden="false" customHeight="true" outlineLevel="0" collapsed="false">
      <c r="C361" s="11"/>
      <c r="K361" s="11"/>
      <c r="L361" s="11"/>
      <c r="O361" s="11"/>
    </row>
    <row r="362" customFormat="false" ht="14.25" hidden="false" customHeight="true" outlineLevel="0" collapsed="false">
      <c r="C362" s="11"/>
      <c r="K362" s="11"/>
      <c r="L362" s="11"/>
      <c r="O362" s="11"/>
    </row>
    <row r="363" customFormat="false" ht="14.25" hidden="false" customHeight="true" outlineLevel="0" collapsed="false">
      <c r="C363" s="11"/>
      <c r="K363" s="11"/>
      <c r="L363" s="11"/>
      <c r="O363" s="11"/>
    </row>
    <row r="364" customFormat="false" ht="14.25" hidden="false" customHeight="true" outlineLevel="0" collapsed="false">
      <c r="C364" s="11"/>
      <c r="K364" s="11"/>
      <c r="L364" s="11"/>
      <c r="O364" s="11"/>
    </row>
    <row r="365" customFormat="false" ht="14.25" hidden="false" customHeight="true" outlineLevel="0" collapsed="false">
      <c r="C365" s="11"/>
      <c r="K365" s="11"/>
      <c r="L365" s="11"/>
      <c r="O365" s="11"/>
    </row>
    <row r="366" customFormat="false" ht="14.25" hidden="false" customHeight="true" outlineLevel="0" collapsed="false">
      <c r="C366" s="11"/>
      <c r="K366" s="11"/>
      <c r="L366" s="11"/>
      <c r="O366" s="11"/>
    </row>
    <row r="367" customFormat="false" ht="14.25" hidden="false" customHeight="true" outlineLevel="0" collapsed="false">
      <c r="C367" s="11"/>
      <c r="K367" s="11"/>
      <c r="L367" s="11"/>
      <c r="O367" s="11"/>
    </row>
    <row r="368" customFormat="false" ht="14.25" hidden="false" customHeight="true" outlineLevel="0" collapsed="false">
      <c r="C368" s="11"/>
      <c r="K368" s="11"/>
      <c r="L368" s="11"/>
      <c r="O368" s="11"/>
    </row>
    <row r="369" customFormat="false" ht="14.25" hidden="false" customHeight="true" outlineLevel="0" collapsed="false">
      <c r="C369" s="11"/>
      <c r="K369" s="11"/>
      <c r="L369" s="11"/>
      <c r="O369" s="11"/>
    </row>
    <row r="370" customFormat="false" ht="14.25" hidden="false" customHeight="true" outlineLevel="0" collapsed="false">
      <c r="C370" s="11"/>
      <c r="K370" s="11"/>
      <c r="L370" s="11"/>
      <c r="O370" s="11"/>
    </row>
    <row r="371" customFormat="false" ht="14.25" hidden="false" customHeight="true" outlineLevel="0" collapsed="false">
      <c r="C371" s="11"/>
      <c r="K371" s="11"/>
      <c r="L371" s="11"/>
      <c r="O371" s="11"/>
    </row>
    <row r="372" customFormat="false" ht="14.25" hidden="false" customHeight="true" outlineLevel="0" collapsed="false">
      <c r="C372" s="11"/>
      <c r="K372" s="11"/>
      <c r="L372" s="11"/>
      <c r="O372" s="11"/>
    </row>
    <row r="373" customFormat="false" ht="14.25" hidden="false" customHeight="true" outlineLevel="0" collapsed="false">
      <c r="C373" s="11"/>
      <c r="K373" s="11"/>
      <c r="L373" s="11"/>
      <c r="O373" s="11"/>
    </row>
    <row r="374" customFormat="false" ht="14.25" hidden="false" customHeight="true" outlineLevel="0" collapsed="false">
      <c r="C374" s="11"/>
      <c r="K374" s="11"/>
      <c r="L374" s="11"/>
      <c r="O374" s="11"/>
    </row>
    <row r="375" customFormat="false" ht="14.25" hidden="false" customHeight="true" outlineLevel="0" collapsed="false">
      <c r="C375" s="11"/>
      <c r="K375" s="11"/>
      <c r="L375" s="11"/>
      <c r="O375" s="11"/>
    </row>
    <row r="376" customFormat="false" ht="14.25" hidden="false" customHeight="true" outlineLevel="0" collapsed="false">
      <c r="C376" s="11"/>
      <c r="K376" s="11"/>
      <c r="L376" s="11"/>
      <c r="O376" s="11"/>
    </row>
    <row r="377" customFormat="false" ht="14.25" hidden="false" customHeight="true" outlineLevel="0" collapsed="false">
      <c r="C377" s="11"/>
      <c r="K377" s="11"/>
      <c r="L377" s="11"/>
      <c r="O377" s="11"/>
    </row>
    <row r="378" customFormat="false" ht="14.25" hidden="false" customHeight="true" outlineLevel="0" collapsed="false">
      <c r="C378" s="11"/>
      <c r="K378" s="11"/>
      <c r="L378" s="11"/>
      <c r="O378" s="11"/>
    </row>
    <row r="379" customFormat="false" ht="14.25" hidden="false" customHeight="true" outlineLevel="0" collapsed="false">
      <c r="C379" s="11"/>
      <c r="K379" s="11"/>
      <c r="L379" s="11"/>
      <c r="O379" s="11"/>
    </row>
    <row r="380" customFormat="false" ht="14.25" hidden="false" customHeight="true" outlineLevel="0" collapsed="false">
      <c r="C380" s="11"/>
      <c r="K380" s="11"/>
      <c r="L380" s="11"/>
      <c r="O380" s="11"/>
    </row>
    <row r="381" customFormat="false" ht="14.25" hidden="false" customHeight="true" outlineLevel="0" collapsed="false">
      <c r="C381" s="11"/>
      <c r="K381" s="11"/>
      <c r="L381" s="11"/>
      <c r="O381" s="11"/>
    </row>
    <row r="382" customFormat="false" ht="14.25" hidden="false" customHeight="true" outlineLevel="0" collapsed="false">
      <c r="C382" s="11"/>
      <c r="K382" s="11"/>
      <c r="L382" s="11"/>
      <c r="O382" s="11"/>
    </row>
    <row r="383" customFormat="false" ht="14.25" hidden="false" customHeight="true" outlineLevel="0" collapsed="false">
      <c r="C383" s="11"/>
      <c r="K383" s="11"/>
      <c r="L383" s="11"/>
      <c r="O383" s="11"/>
    </row>
    <row r="384" customFormat="false" ht="14.25" hidden="false" customHeight="true" outlineLevel="0" collapsed="false">
      <c r="C384" s="11"/>
      <c r="K384" s="11"/>
      <c r="L384" s="11"/>
      <c r="O384" s="11"/>
    </row>
    <row r="385" customFormat="false" ht="14.25" hidden="false" customHeight="true" outlineLevel="0" collapsed="false">
      <c r="C385" s="11"/>
      <c r="K385" s="11"/>
      <c r="L385" s="11"/>
      <c r="O385" s="11"/>
    </row>
    <row r="386" customFormat="false" ht="14.25" hidden="false" customHeight="true" outlineLevel="0" collapsed="false">
      <c r="C386" s="11"/>
      <c r="K386" s="11"/>
      <c r="L386" s="11"/>
      <c r="O386" s="11"/>
    </row>
    <row r="387" customFormat="false" ht="14.25" hidden="false" customHeight="true" outlineLevel="0" collapsed="false">
      <c r="C387" s="11"/>
      <c r="K387" s="11"/>
      <c r="L387" s="11"/>
      <c r="O387" s="11"/>
    </row>
    <row r="388" customFormat="false" ht="14.25" hidden="false" customHeight="true" outlineLevel="0" collapsed="false">
      <c r="C388" s="11"/>
      <c r="K388" s="11"/>
      <c r="L388" s="11"/>
      <c r="O388" s="11"/>
    </row>
    <row r="389" customFormat="false" ht="14.25" hidden="false" customHeight="true" outlineLevel="0" collapsed="false">
      <c r="C389" s="11"/>
      <c r="K389" s="11"/>
      <c r="L389" s="11"/>
      <c r="O389" s="11"/>
    </row>
    <row r="390" customFormat="false" ht="14.25" hidden="false" customHeight="true" outlineLevel="0" collapsed="false">
      <c r="C390" s="11"/>
      <c r="K390" s="11"/>
      <c r="L390" s="11"/>
      <c r="O390" s="11"/>
    </row>
    <row r="391" customFormat="false" ht="14.25" hidden="false" customHeight="true" outlineLevel="0" collapsed="false">
      <c r="C391" s="11"/>
      <c r="K391" s="11"/>
      <c r="L391" s="11"/>
      <c r="O391" s="11"/>
    </row>
    <row r="392" customFormat="false" ht="14.25" hidden="false" customHeight="true" outlineLevel="0" collapsed="false">
      <c r="C392" s="11"/>
      <c r="K392" s="11"/>
      <c r="L392" s="11"/>
      <c r="O392" s="11"/>
    </row>
    <row r="393" customFormat="false" ht="14.25" hidden="false" customHeight="true" outlineLevel="0" collapsed="false">
      <c r="C393" s="11"/>
      <c r="K393" s="11"/>
      <c r="L393" s="11"/>
      <c r="O393" s="11"/>
    </row>
    <row r="394" customFormat="false" ht="14.25" hidden="false" customHeight="true" outlineLevel="0" collapsed="false">
      <c r="C394" s="11"/>
      <c r="K394" s="11"/>
      <c r="L394" s="11"/>
      <c r="O394" s="11"/>
    </row>
    <row r="395" customFormat="false" ht="14.25" hidden="false" customHeight="true" outlineLevel="0" collapsed="false">
      <c r="C395" s="11"/>
      <c r="K395" s="11"/>
      <c r="L395" s="11"/>
      <c r="O395" s="11"/>
    </row>
    <row r="396" customFormat="false" ht="14.25" hidden="false" customHeight="true" outlineLevel="0" collapsed="false">
      <c r="C396" s="11"/>
      <c r="K396" s="11"/>
      <c r="L396" s="11"/>
      <c r="O396" s="11"/>
    </row>
    <row r="397" customFormat="false" ht="14.25" hidden="false" customHeight="true" outlineLevel="0" collapsed="false">
      <c r="C397" s="11"/>
      <c r="K397" s="11"/>
      <c r="L397" s="11"/>
      <c r="O397" s="11"/>
    </row>
    <row r="398" customFormat="false" ht="14.25" hidden="false" customHeight="true" outlineLevel="0" collapsed="false">
      <c r="C398" s="11"/>
      <c r="K398" s="11"/>
      <c r="L398" s="11"/>
      <c r="O398" s="11"/>
    </row>
    <row r="399" customFormat="false" ht="14.25" hidden="false" customHeight="true" outlineLevel="0" collapsed="false">
      <c r="C399" s="11"/>
      <c r="K399" s="11"/>
      <c r="L399" s="11"/>
      <c r="O399" s="11"/>
    </row>
    <row r="400" customFormat="false" ht="14.25" hidden="false" customHeight="true" outlineLevel="0" collapsed="false">
      <c r="C400" s="11"/>
      <c r="K400" s="11"/>
      <c r="L400" s="11"/>
      <c r="O400" s="11"/>
    </row>
    <row r="401" customFormat="false" ht="14.25" hidden="false" customHeight="true" outlineLevel="0" collapsed="false">
      <c r="C401" s="11"/>
      <c r="K401" s="11"/>
      <c r="L401" s="11"/>
      <c r="O401" s="11"/>
    </row>
    <row r="402" customFormat="false" ht="14.25" hidden="false" customHeight="true" outlineLevel="0" collapsed="false">
      <c r="C402" s="11"/>
      <c r="K402" s="11"/>
      <c r="L402" s="11"/>
      <c r="O402" s="11"/>
    </row>
    <row r="403" customFormat="false" ht="14.25" hidden="false" customHeight="true" outlineLevel="0" collapsed="false">
      <c r="C403" s="11"/>
      <c r="K403" s="11"/>
      <c r="L403" s="11"/>
      <c r="O403" s="11"/>
    </row>
    <row r="404" customFormat="false" ht="14.25" hidden="false" customHeight="true" outlineLevel="0" collapsed="false">
      <c r="C404" s="11"/>
      <c r="K404" s="11"/>
      <c r="L404" s="11"/>
      <c r="O404" s="11"/>
    </row>
    <row r="405" customFormat="false" ht="14.25" hidden="false" customHeight="true" outlineLevel="0" collapsed="false">
      <c r="C405" s="11"/>
      <c r="K405" s="11"/>
      <c r="L405" s="11"/>
      <c r="O405" s="11"/>
    </row>
    <row r="406" customFormat="false" ht="14.25" hidden="false" customHeight="true" outlineLevel="0" collapsed="false">
      <c r="C406" s="11"/>
      <c r="K406" s="11"/>
      <c r="L406" s="11"/>
      <c r="O406" s="11"/>
    </row>
    <row r="407" customFormat="false" ht="14.25" hidden="false" customHeight="true" outlineLevel="0" collapsed="false">
      <c r="C407" s="11"/>
      <c r="K407" s="11"/>
      <c r="L407" s="11"/>
      <c r="O407" s="11"/>
    </row>
    <row r="408" customFormat="false" ht="14.25" hidden="false" customHeight="true" outlineLevel="0" collapsed="false">
      <c r="C408" s="11"/>
      <c r="K408" s="11"/>
      <c r="L408" s="11"/>
      <c r="O408" s="11"/>
    </row>
    <row r="409" customFormat="false" ht="14.25" hidden="false" customHeight="true" outlineLevel="0" collapsed="false">
      <c r="C409" s="11"/>
      <c r="K409" s="11"/>
      <c r="L409" s="11"/>
      <c r="O409" s="11"/>
    </row>
    <row r="410" customFormat="false" ht="14.25" hidden="false" customHeight="true" outlineLevel="0" collapsed="false">
      <c r="C410" s="11"/>
      <c r="K410" s="11"/>
      <c r="L410" s="11"/>
      <c r="O410" s="11"/>
    </row>
    <row r="411" customFormat="false" ht="14.25" hidden="false" customHeight="true" outlineLevel="0" collapsed="false">
      <c r="C411" s="11"/>
      <c r="K411" s="11"/>
      <c r="L411" s="11"/>
      <c r="O411" s="11"/>
    </row>
    <row r="412" customFormat="false" ht="14.25" hidden="false" customHeight="true" outlineLevel="0" collapsed="false">
      <c r="C412" s="11"/>
      <c r="K412" s="11"/>
      <c r="L412" s="11"/>
      <c r="O412" s="11"/>
    </row>
    <row r="413" customFormat="false" ht="14.25" hidden="false" customHeight="true" outlineLevel="0" collapsed="false">
      <c r="C413" s="11"/>
      <c r="K413" s="11"/>
      <c r="L413" s="11"/>
      <c r="O413" s="11"/>
    </row>
    <row r="414" customFormat="false" ht="14.25" hidden="false" customHeight="true" outlineLevel="0" collapsed="false">
      <c r="C414" s="11"/>
      <c r="K414" s="11"/>
      <c r="L414" s="11"/>
      <c r="O414" s="11"/>
    </row>
    <row r="415" customFormat="false" ht="14.25" hidden="false" customHeight="true" outlineLevel="0" collapsed="false">
      <c r="C415" s="11"/>
      <c r="K415" s="11"/>
      <c r="L415" s="11"/>
      <c r="O415" s="11"/>
    </row>
    <row r="416" customFormat="false" ht="14.25" hidden="false" customHeight="true" outlineLevel="0" collapsed="false">
      <c r="C416" s="11"/>
      <c r="K416" s="11"/>
      <c r="L416" s="11"/>
      <c r="O416" s="11"/>
    </row>
    <row r="417" customFormat="false" ht="14.25" hidden="false" customHeight="true" outlineLevel="0" collapsed="false">
      <c r="C417" s="11"/>
      <c r="K417" s="11"/>
      <c r="L417" s="11"/>
      <c r="O417" s="11"/>
    </row>
    <row r="418" customFormat="false" ht="14.25" hidden="false" customHeight="true" outlineLevel="0" collapsed="false">
      <c r="C418" s="11"/>
      <c r="K418" s="11"/>
      <c r="L418" s="11"/>
      <c r="O418" s="11"/>
    </row>
    <row r="419" customFormat="false" ht="14.25" hidden="false" customHeight="true" outlineLevel="0" collapsed="false">
      <c r="C419" s="11"/>
      <c r="K419" s="11"/>
      <c r="L419" s="11"/>
      <c r="O419" s="11"/>
    </row>
    <row r="420" customFormat="false" ht="14.25" hidden="false" customHeight="true" outlineLevel="0" collapsed="false">
      <c r="C420" s="11"/>
      <c r="K420" s="11"/>
      <c r="L420" s="11"/>
      <c r="O420" s="11"/>
    </row>
    <row r="421" customFormat="false" ht="14.25" hidden="false" customHeight="true" outlineLevel="0" collapsed="false">
      <c r="C421" s="11"/>
      <c r="K421" s="11"/>
      <c r="L421" s="11"/>
      <c r="O421" s="11"/>
    </row>
    <row r="422" customFormat="false" ht="14.25" hidden="false" customHeight="true" outlineLevel="0" collapsed="false">
      <c r="C422" s="11"/>
      <c r="K422" s="11"/>
      <c r="L422" s="11"/>
      <c r="O422" s="11"/>
    </row>
    <row r="423" customFormat="false" ht="14.25" hidden="false" customHeight="true" outlineLevel="0" collapsed="false">
      <c r="C423" s="11"/>
      <c r="K423" s="11"/>
      <c r="L423" s="11"/>
      <c r="O423" s="11"/>
    </row>
    <row r="424" customFormat="false" ht="14.25" hidden="false" customHeight="true" outlineLevel="0" collapsed="false">
      <c r="C424" s="11"/>
      <c r="K424" s="11"/>
      <c r="L424" s="11"/>
      <c r="O424" s="11"/>
    </row>
    <row r="425" customFormat="false" ht="14.25" hidden="false" customHeight="true" outlineLevel="0" collapsed="false">
      <c r="C425" s="11"/>
      <c r="K425" s="11"/>
      <c r="L425" s="11"/>
      <c r="O425" s="11"/>
    </row>
    <row r="426" customFormat="false" ht="14.25" hidden="false" customHeight="true" outlineLevel="0" collapsed="false">
      <c r="C426" s="11"/>
      <c r="K426" s="11"/>
      <c r="L426" s="11"/>
      <c r="O426" s="11"/>
    </row>
    <row r="427" customFormat="false" ht="14.25" hidden="false" customHeight="true" outlineLevel="0" collapsed="false">
      <c r="C427" s="11"/>
      <c r="K427" s="11"/>
      <c r="L427" s="11"/>
      <c r="O427" s="11"/>
    </row>
    <row r="428" customFormat="false" ht="14.25" hidden="false" customHeight="true" outlineLevel="0" collapsed="false">
      <c r="C428" s="11"/>
      <c r="K428" s="11"/>
      <c r="L428" s="11"/>
      <c r="O428" s="11"/>
    </row>
    <row r="429" customFormat="false" ht="14.25" hidden="false" customHeight="true" outlineLevel="0" collapsed="false">
      <c r="C429" s="11"/>
      <c r="K429" s="11"/>
      <c r="L429" s="11"/>
      <c r="O429" s="11"/>
    </row>
    <row r="430" customFormat="false" ht="14.25" hidden="false" customHeight="true" outlineLevel="0" collapsed="false">
      <c r="C430" s="11"/>
      <c r="K430" s="11"/>
      <c r="L430" s="11"/>
      <c r="O430" s="11"/>
    </row>
    <row r="431" customFormat="false" ht="14.25" hidden="false" customHeight="true" outlineLevel="0" collapsed="false">
      <c r="C431" s="11"/>
      <c r="K431" s="11"/>
      <c r="L431" s="11"/>
      <c r="O431" s="11"/>
    </row>
    <row r="432" customFormat="false" ht="14.25" hidden="false" customHeight="true" outlineLevel="0" collapsed="false">
      <c r="C432" s="11"/>
      <c r="K432" s="11"/>
      <c r="L432" s="11"/>
      <c r="O432" s="11"/>
    </row>
    <row r="433" customFormat="false" ht="14.25" hidden="false" customHeight="true" outlineLevel="0" collapsed="false">
      <c r="C433" s="11"/>
      <c r="K433" s="11"/>
      <c r="L433" s="11"/>
      <c r="O433" s="11"/>
    </row>
    <row r="434" customFormat="false" ht="14.25" hidden="false" customHeight="true" outlineLevel="0" collapsed="false">
      <c r="C434" s="11"/>
      <c r="K434" s="11"/>
      <c r="L434" s="11"/>
      <c r="O434" s="11"/>
    </row>
    <row r="435" customFormat="false" ht="14.25" hidden="false" customHeight="true" outlineLevel="0" collapsed="false">
      <c r="C435" s="11"/>
      <c r="K435" s="11"/>
      <c r="L435" s="11"/>
      <c r="O435" s="11"/>
    </row>
    <row r="436" customFormat="false" ht="14.25" hidden="false" customHeight="true" outlineLevel="0" collapsed="false">
      <c r="C436" s="11"/>
      <c r="K436" s="11"/>
      <c r="L436" s="11"/>
      <c r="O436" s="11"/>
    </row>
    <row r="437" customFormat="false" ht="14.25" hidden="false" customHeight="true" outlineLevel="0" collapsed="false">
      <c r="C437" s="11"/>
      <c r="K437" s="11"/>
      <c r="L437" s="11"/>
      <c r="O437" s="11"/>
    </row>
    <row r="438" customFormat="false" ht="14.25" hidden="false" customHeight="true" outlineLevel="0" collapsed="false">
      <c r="C438" s="11"/>
      <c r="K438" s="11"/>
      <c r="L438" s="11"/>
      <c r="O438" s="11"/>
    </row>
    <row r="439" customFormat="false" ht="14.25" hidden="false" customHeight="true" outlineLevel="0" collapsed="false">
      <c r="C439" s="11"/>
      <c r="K439" s="11"/>
      <c r="L439" s="11"/>
      <c r="O439" s="11"/>
    </row>
    <row r="440" customFormat="false" ht="14.25" hidden="false" customHeight="true" outlineLevel="0" collapsed="false">
      <c r="C440" s="11"/>
      <c r="K440" s="11"/>
      <c r="L440" s="11"/>
      <c r="O440" s="11"/>
    </row>
    <row r="441" customFormat="false" ht="14.25" hidden="false" customHeight="true" outlineLevel="0" collapsed="false">
      <c r="C441" s="11"/>
      <c r="K441" s="11"/>
      <c r="L441" s="11"/>
      <c r="O441" s="11"/>
    </row>
    <row r="442" customFormat="false" ht="14.25" hidden="false" customHeight="true" outlineLevel="0" collapsed="false">
      <c r="C442" s="11"/>
      <c r="K442" s="11"/>
      <c r="L442" s="11"/>
      <c r="O442" s="11"/>
    </row>
    <row r="443" customFormat="false" ht="14.25" hidden="false" customHeight="true" outlineLevel="0" collapsed="false">
      <c r="C443" s="11"/>
      <c r="K443" s="11"/>
      <c r="L443" s="11"/>
      <c r="O443" s="11"/>
    </row>
    <row r="444" customFormat="false" ht="14.25" hidden="false" customHeight="true" outlineLevel="0" collapsed="false">
      <c r="C444" s="11"/>
      <c r="K444" s="11"/>
      <c r="L444" s="11"/>
      <c r="O444" s="11"/>
    </row>
    <row r="445" customFormat="false" ht="14.25" hidden="false" customHeight="true" outlineLevel="0" collapsed="false">
      <c r="C445" s="11"/>
      <c r="K445" s="11"/>
      <c r="L445" s="11"/>
      <c r="O445" s="11"/>
    </row>
    <row r="446" customFormat="false" ht="14.25" hidden="false" customHeight="true" outlineLevel="0" collapsed="false">
      <c r="C446" s="11"/>
      <c r="K446" s="11"/>
      <c r="L446" s="11"/>
      <c r="O446" s="11"/>
    </row>
    <row r="447" customFormat="false" ht="14.25" hidden="false" customHeight="true" outlineLevel="0" collapsed="false">
      <c r="C447" s="11"/>
      <c r="K447" s="11"/>
      <c r="L447" s="11"/>
      <c r="O447" s="11"/>
    </row>
    <row r="448" customFormat="false" ht="14.25" hidden="false" customHeight="true" outlineLevel="0" collapsed="false">
      <c r="C448" s="11"/>
      <c r="K448" s="11"/>
      <c r="L448" s="11"/>
      <c r="O448" s="11"/>
    </row>
    <row r="449" customFormat="false" ht="14.25" hidden="false" customHeight="true" outlineLevel="0" collapsed="false">
      <c r="C449" s="11"/>
      <c r="K449" s="11"/>
      <c r="L449" s="11"/>
      <c r="O449" s="11"/>
    </row>
    <row r="450" customFormat="false" ht="14.25" hidden="false" customHeight="true" outlineLevel="0" collapsed="false">
      <c r="C450" s="11"/>
      <c r="K450" s="11"/>
      <c r="L450" s="11"/>
      <c r="O450" s="11"/>
    </row>
    <row r="451" customFormat="false" ht="14.25" hidden="false" customHeight="true" outlineLevel="0" collapsed="false">
      <c r="C451" s="11"/>
      <c r="K451" s="11"/>
      <c r="L451" s="11"/>
      <c r="O451" s="11"/>
    </row>
    <row r="452" customFormat="false" ht="14.25" hidden="false" customHeight="true" outlineLevel="0" collapsed="false">
      <c r="C452" s="11"/>
      <c r="K452" s="11"/>
      <c r="L452" s="11"/>
      <c r="O452" s="11"/>
    </row>
    <row r="453" customFormat="false" ht="14.25" hidden="false" customHeight="true" outlineLevel="0" collapsed="false">
      <c r="C453" s="11"/>
      <c r="K453" s="11"/>
      <c r="L453" s="11"/>
      <c r="O453" s="11"/>
    </row>
    <row r="454" customFormat="false" ht="14.25" hidden="false" customHeight="true" outlineLevel="0" collapsed="false">
      <c r="C454" s="11"/>
      <c r="K454" s="11"/>
      <c r="L454" s="11"/>
      <c r="O454" s="11"/>
    </row>
    <row r="455" customFormat="false" ht="14.25" hidden="false" customHeight="true" outlineLevel="0" collapsed="false">
      <c r="C455" s="11"/>
      <c r="K455" s="11"/>
      <c r="L455" s="11"/>
      <c r="O455" s="11"/>
    </row>
    <row r="456" customFormat="false" ht="14.25" hidden="false" customHeight="true" outlineLevel="0" collapsed="false">
      <c r="C456" s="11"/>
      <c r="K456" s="11"/>
      <c r="L456" s="11"/>
      <c r="O456" s="11"/>
    </row>
    <row r="457" customFormat="false" ht="14.25" hidden="false" customHeight="true" outlineLevel="0" collapsed="false">
      <c r="C457" s="11"/>
      <c r="K457" s="11"/>
      <c r="L457" s="11"/>
      <c r="O457" s="11"/>
    </row>
    <row r="458" customFormat="false" ht="14.25" hidden="false" customHeight="true" outlineLevel="0" collapsed="false">
      <c r="C458" s="11"/>
      <c r="K458" s="11"/>
      <c r="L458" s="11"/>
      <c r="O458" s="11"/>
    </row>
    <row r="459" customFormat="false" ht="14.25" hidden="false" customHeight="true" outlineLevel="0" collapsed="false">
      <c r="C459" s="11"/>
      <c r="K459" s="11"/>
      <c r="L459" s="11"/>
      <c r="O459" s="11"/>
    </row>
    <row r="460" customFormat="false" ht="14.25" hidden="false" customHeight="true" outlineLevel="0" collapsed="false">
      <c r="C460" s="11"/>
      <c r="K460" s="11"/>
      <c r="L460" s="11"/>
      <c r="O460" s="11"/>
    </row>
    <row r="461" customFormat="false" ht="14.25" hidden="false" customHeight="true" outlineLevel="0" collapsed="false">
      <c r="C461" s="11"/>
      <c r="K461" s="11"/>
      <c r="L461" s="11"/>
      <c r="O461" s="11"/>
    </row>
    <row r="462" customFormat="false" ht="14.25" hidden="false" customHeight="true" outlineLevel="0" collapsed="false">
      <c r="C462" s="11"/>
      <c r="K462" s="11"/>
      <c r="L462" s="11"/>
      <c r="O462" s="11"/>
    </row>
    <row r="463" customFormat="false" ht="14.25" hidden="false" customHeight="true" outlineLevel="0" collapsed="false">
      <c r="C463" s="11"/>
      <c r="K463" s="11"/>
      <c r="L463" s="11"/>
      <c r="O463" s="11"/>
    </row>
    <row r="464" customFormat="false" ht="14.25" hidden="false" customHeight="true" outlineLevel="0" collapsed="false">
      <c r="C464" s="11"/>
      <c r="K464" s="11"/>
      <c r="L464" s="11"/>
      <c r="O464" s="11"/>
    </row>
    <row r="465" customFormat="false" ht="14.25" hidden="false" customHeight="true" outlineLevel="0" collapsed="false">
      <c r="C465" s="11"/>
      <c r="K465" s="11"/>
      <c r="L465" s="11"/>
      <c r="O465" s="11"/>
    </row>
    <row r="466" customFormat="false" ht="14.25" hidden="false" customHeight="true" outlineLevel="0" collapsed="false">
      <c r="C466" s="11"/>
      <c r="K466" s="11"/>
      <c r="L466" s="11"/>
      <c r="O466" s="11"/>
    </row>
    <row r="467" customFormat="false" ht="14.25" hidden="false" customHeight="true" outlineLevel="0" collapsed="false">
      <c r="C467" s="11"/>
      <c r="K467" s="11"/>
      <c r="L467" s="11"/>
      <c r="O467" s="11"/>
    </row>
    <row r="468" customFormat="false" ht="14.25" hidden="false" customHeight="true" outlineLevel="0" collapsed="false">
      <c r="C468" s="11"/>
      <c r="K468" s="11"/>
      <c r="L468" s="11"/>
      <c r="O468" s="11"/>
    </row>
    <row r="469" customFormat="false" ht="14.25" hidden="false" customHeight="true" outlineLevel="0" collapsed="false">
      <c r="C469" s="11"/>
      <c r="K469" s="11"/>
      <c r="L469" s="11"/>
      <c r="O469" s="11"/>
    </row>
    <row r="470" customFormat="false" ht="14.25" hidden="false" customHeight="true" outlineLevel="0" collapsed="false">
      <c r="C470" s="11"/>
      <c r="K470" s="11"/>
      <c r="L470" s="11"/>
      <c r="O470" s="11"/>
    </row>
    <row r="471" customFormat="false" ht="14.25" hidden="false" customHeight="true" outlineLevel="0" collapsed="false">
      <c r="C471" s="11"/>
      <c r="K471" s="11"/>
      <c r="L471" s="11"/>
      <c r="O471" s="11"/>
    </row>
    <row r="472" customFormat="false" ht="14.25" hidden="false" customHeight="true" outlineLevel="0" collapsed="false">
      <c r="C472" s="11"/>
      <c r="K472" s="11"/>
      <c r="L472" s="11"/>
      <c r="O472" s="11"/>
    </row>
    <row r="473" customFormat="false" ht="14.25" hidden="false" customHeight="true" outlineLevel="0" collapsed="false">
      <c r="C473" s="11"/>
      <c r="K473" s="11"/>
      <c r="L473" s="11"/>
      <c r="O473" s="11"/>
    </row>
    <row r="474" customFormat="false" ht="14.25" hidden="false" customHeight="true" outlineLevel="0" collapsed="false">
      <c r="C474" s="11"/>
      <c r="K474" s="11"/>
      <c r="L474" s="11"/>
      <c r="O474" s="11"/>
    </row>
    <row r="475" customFormat="false" ht="14.25" hidden="false" customHeight="true" outlineLevel="0" collapsed="false">
      <c r="C475" s="11"/>
      <c r="K475" s="11"/>
      <c r="L475" s="11"/>
      <c r="O475" s="11"/>
    </row>
    <row r="476" customFormat="false" ht="14.25" hidden="false" customHeight="true" outlineLevel="0" collapsed="false">
      <c r="C476" s="11"/>
      <c r="K476" s="11"/>
      <c r="L476" s="11"/>
      <c r="O476" s="11"/>
    </row>
    <row r="477" customFormat="false" ht="14.25" hidden="false" customHeight="true" outlineLevel="0" collapsed="false">
      <c r="C477" s="11"/>
      <c r="K477" s="11"/>
      <c r="L477" s="11"/>
      <c r="O477" s="11"/>
    </row>
    <row r="478" customFormat="false" ht="14.25" hidden="false" customHeight="true" outlineLevel="0" collapsed="false">
      <c r="C478" s="11"/>
      <c r="K478" s="11"/>
      <c r="L478" s="11"/>
      <c r="O478" s="11"/>
    </row>
    <row r="479" customFormat="false" ht="14.25" hidden="false" customHeight="true" outlineLevel="0" collapsed="false">
      <c r="C479" s="11"/>
      <c r="K479" s="11"/>
      <c r="L479" s="11"/>
      <c r="O479" s="11"/>
    </row>
    <row r="480" customFormat="false" ht="14.25" hidden="false" customHeight="true" outlineLevel="0" collapsed="false">
      <c r="C480" s="11"/>
      <c r="K480" s="11"/>
      <c r="L480" s="11"/>
      <c r="O480" s="11"/>
    </row>
    <row r="481" customFormat="false" ht="14.25" hidden="false" customHeight="true" outlineLevel="0" collapsed="false">
      <c r="C481" s="11"/>
      <c r="K481" s="11"/>
      <c r="L481" s="11"/>
      <c r="O481" s="11"/>
    </row>
    <row r="482" customFormat="false" ht="14.25" hidden="false" customHeight="true" outlineLevel="0" collapsed="false">
      <c r="C482" s="11"/>
      <c r="K482" s="11"/>
      <c r="L482" s="11"/>
      <c r="O482" s="11"/>
    </row>
    <row r="483" customFormat="false" ht="14.25" hidden="false" customHeight="true" outlineLevel="0" collapsed="false">
      <c r="C483" s="11"/>
      <c r="K483" s="11"/>
      <c r="L483" s="11"/>
      <c r="O483" s="11"/>
    </row>
    <row r="484" customFormat="false" ht="14.25" hidden="false" customHeight="true" outlineLevel="0" collapsed="false">
      <c r="C484" s="11"/>
      <c r="K484" s="11"/>
      <c r="L484" s="11"/>
      <c r="O484" s="11"/>
    </row>
    <row r="485" customFormat="false" ht="14.25" hidden="false" customHeight="true" outlineLevel="0" collapsed="false">
      <c r="C485" s="11"/>
      <c r="K485" s="11"/>
      <c r="L485" s="11"/>
      <c r="O485" s="11"/>
    </row>
    <row r="486" customFormat="false" ht="14.25" hidden="false" customHeight="true" outlineLevel="0" collapsed="false">
      <c r="C486" s="11"/>
      <c r="K486" s="11"/>
      <c r="L486" s="11"/>
      <c r="O486" s="11"/>
    </row>
    <row r="487" customFormat="false" ht="14.25" hidden="false" customHeight="true" outlineLevel="0" collapsed="false">
      <c r="C487" s="11"/>
      <c r="K487" s="11"/>
      <c r="L487" s="11"/>
      <c r="O487" s="11"/>
    </row>
    <row r="488" customFormat="false" ht="14.25" hidden="false" customHeight="true" outlineLevel="0" collapsed="false">
      <c r="C488" s="11"/>
      <c r="K488" s="11"/>
      <c r="L488" s="11"/>
      <c r="O488" s="11"/>
    </row>
    <row r="489" customFormat="false" ht="14.25" hidden="false" customHeight="true" outlineLevel="0" collapsed="false">
      <c r="C489" s="11"/>
      <c r="K489" s="11"/>
      <c r="L489" s="11"/>
      <c r="O489" s="11"/>
    </row>
    <row r="490" customFormat="false" ht="14.25" hidden="false" customHeight="true" outlineLevel="0" collapsed="false">
      <c r="C490" s="11"/>
      <c r="K490" s="11"/>
      <c r="L490" s="11"/>
      <c r="O490" s="11"/>
    </row>
    <row r="491" customFormat="false" ht="14.25" hidden="false" customHeight="true" outlineLevel="0" collapsed="false">
      <c r="C491" s="11"/>
      <c r="K491" s="11"/>
      <c r="L491" s="11"/>
      <c r="O491" s="11"/>
    </row>
    <row r="492" customFormat="false" ht="14.25" hidden="false" customHeight="true" outlineLevel="0" collapsed="false">
      <c r="C492" s="11"/>
      <c r="K492" s="11"/>
      <c r="L492" s="11"/>
      <c r="O492" s="11"/>
    </row>
    <row r="493" customFormat="false" ht="14.25" hidden="false" customHeight="true" outlineLevel="0" collapsed="false">
      <c r="C493" s="11"/>
      <c r="K493" s="11"/>
      <c r="L493" s="11"/>
      <c r="O493" s="11"/>
    </row>
    <row r="494" customFormat="false" ht="14.25" hidden="false" customHeight="true" outlineLevel="0" collapsed="false">
      <c r="C494" s="11"/>
      <c r="K494" s="11"/>
      <c r="L494" s="11"/>
      <c r="O494" s="11"/>
    </row>
    <row r="495" customFormat="false" ht="14.25" hidden="false" customHeight="true" outlineLevel="0" collapsed="false">
      <c r="C495" s="11"/>
      <c r="K495" s="11"/>
      <c r="L495" s="11"/>
      <c r="O495" s="11"/>
    </row>
    <row r="496" customFormat="false" ht="14.25" hidden="false" customHeight="true" outlineLevel="0" collapsed="false">
      <c r="C496" s="11"/>
      <c r="K496" s="11"/>
      <c r="L496" s="11"/>
      <c r="O496" s="11"/>
    </row>
    <row r="497" customFormat="false" ht="14.25" hidden="false" customHeight="true" outlineLevel="0" collapsed="false">
      <c r="C497" s="11"/>
      <c r="K497" s="11"/>
      <c r="L497" s="11"/>
      <c r="O497" s="11"/>
    </row>
    <row r="498" customFormat="false" ht="14.25" hidden="false" customHeight="true" outlineLevel="0" collapsed="false">
      <c r="C498" s="11"/>
      <c r="K498" s="11"/>
      <c r="L498" s="11"/>
      <c r="O498" s="11"/>
    </row>
    <row r="499" customFormat="false" ht="14.25" hidden="false" customHeight="true" outlineLevel="0" collapsed="false">
      <c r="C499" s="11"/>
      <c r="K499" s="11"/>
      <c r="L499" s="11"/>
      <c r="O499" s="11"/>
    </row>
    <row r="500" customFormat="false" ht="14.25" hidden="false" customHeight="true" outlineLevel="0" collapsed="false">
      <c r="C500" s="11"/>
      <c r="K500" s="11"/>
      <c r="L500" s="11"/>
      <c r="O500" s="11"/>
    </row>
    <row r="501" customFormat="false" ht="14.25" hidden="false" customHeight="true" outlineLevel="0" collapsed="false">
      <c r="C501" s="11"/>
      <c r="K501" s="11"/>
      <c r="L501" s="11"/>
      <c r="O501" s="11"/>
    </row>
    <row r="502" customFormat="false" ht="14.25" hidden="false" customHeight="true" outlineLevel="0" collapsed="false">
      <c r="C502" s="11"/>
      <c r="K502" s="11"/>
      <c r="L502" s="11"/>
      <c r="O502" s="11"/>
    </row>
    <row r="503" customFormat="false" ht="14.25" hidden="false" customHeight="true" outlineLevel="0" collapsed="false">
      <c r="C503" s="11"/>
      <c r="K503" s="11"/>
      <c r="L503" s="11"/>
      <c r="O503" s="11"/>
    </row>
    <row r="504" customFormat="false" ht="14.25" hidden="false" customHeight="true" outlineLevel="0" collapsed="false">
      <c r="C504" s="11"/>
      <c r="K504" s="11"/>
      <c r="L504" s="11"/>
      <c r="O504" s="11"/>
    </row>
    <row r="505" customFormat="false" ht="14.25" hidden="false" customHeight="true" outlineLevel="0" collapsed="false">
      <c r="C505" s="11"/>
      <c r="K505" s="11"/>
      <c r="L505" s="11"/>
      <c r="O505" s="11"/>
    </row>
    <row r="506" customFormat="false" ht="14.25" hidden="false" customHeight="true" outlineLevel="0" collapsed="false">
      <c r="C506" s="11"/>
      <c r="K506" s="11"/>
      <c r="L506" s="11"/>
      <c r="O506" s="11"/>
    </row>
    <row r="507" customFormat="false" ht="14.25" hidden="false" customHeight="true" outlineLevel="0" collapsed="false">
      <c r="C507" s="11"/>
      <c r="K507" s="11"/>
      <c r="L507" s="11"/>
      <c r="O507" s="11"/>
    </row>
    <row r="508" customFormat="false" ht="14.25" hidden="false" customHeight="true" outlineLevel="0" collapsed="false">
      <c r="C508" s="11"/>
      <c r="K508" s="11"/>
      <c r="L508" s="11"/>
      <c r="O508" s="11"/>
    </row>
    <row r="509" customFormat="false" ht="14.25" hidden="false" customHeight="true" outlineLevel="0" collapsed="false">
      <c r="C509" s="11"/>
      <c r="K509" s="11"/>
      <c r="L509" s="11"/>
      <c r="O509" s="11"/>
    </row>
    <row r="510" customFormat="false" ht="14.25" hidden="false" customHeight="true" outlineLevel="0" collapsed="false">
      <c r="C510" s="11"/>
      <c r="K510" s="11"/>
      <c r="L510" s="11"/>
      <c r="O510" s="11"/>
    </row>
    <row r="511" customFormat="false" ht="14.25" hidden="false" customHeight="true" outlineLevel="0" collapsed="false">
      <c r="C511" s="11"/>
      <c r="K511" s="11"/>
      <c r="L511" s="11"/>
      <c r="O511" s="11"/>
    </row>
    <row r="512" customFormat="false" ht="14.25" hidden="false" customHeight="true" outlineLevel="0" collapsed="false">
      <c r="C512" s="11"/>
      <c r="K512" s="11"/>
      <c r="L512" s="11"/>
      <c r="O512" s="11"/>
    </row>
    <row r="513" customFormat="false" ht="14.25" hidden="false" customHeight="true" outlineLevel="0" collapsed="false">
      <c r="C513" s="11"/>
      <c r="K513" s="11"/>
      <c r="L513" s="11"/>
      <c r="O513" s="11"/>
    </row>
    <row r="514" customFormat="false" ht="14.25" hidden="false" customHeight="true" outlineLevel="0" collapsed="false">
      <c r="C514" s="11"/>
      <c r="K514" s="11"/>
      <c r="L514" s="11"/>
      <c r="O514" s="11"/>
    </row>
    <row r="515" customFormat="false" ht="14.25" hidden="false" customHeight="true" outlineLevel="0" collapsed="false">
      <c r="C515" s="11"/>
      <c r="K515" s="11"/>
      <c r="L515" s="11"/>
      <c r="O515" s="11"/>
    </row>
    <row r="516" customFormat="false" ht="14.25" hidden="false" customHeight="true" outlineLevel="0" collapsed="false">
      <c r="C516" s="11"/>
      <c r="K516" s="11"/>
      <c r="L516" s="11"/>
      <c r="O516" s="11"/>
    </row>
    <row r="517" customFormat="false" ht="14.25" hidden="false" customHeight="true" outlineLevel="0" collapsed="false">
      <c r="C517" s="11"/>
      <c r="K517" s="11"/>
      <c r="L517" s="11"/>
      <c r="O517" s="11"/>
    </row>
    <row r="518" customFormat="false" ht="14.25" hidden="false" customHeight="true" outlineLevel="0" collapsed="false">
      <c r="C518" s="11"/>
      <c r="K518" s="11"/>
      <c r="L518" s="11"/>
      <c r="O518" s="11"/>
    </row>
    <row r="519" customFormat="false" ht="14.25" hidden="false" customHeight="true" outlineLevel="0" collapsed="false">
      <c r="C519" s="11"/>
      <c r="K519" s="11"/>
      <c r="L519" s="11"/>
      <c r="O519" s="11"/>
    </row>
    <row r="520" customFormat="false" ht="14.25" hidden="false" customHeight="true" outlineLevel="0" collapsed="false">
      <c r="C520" s="11"/>
      <c r="K520" s="11"/>
      <c r="L520" s="11"/>
      <c r="O520" s="11"/>
    </row>
    <row r="521" customFormat="false" ht="14.25" hidden="false" customHeight="true" outlineLevel="0" collapsed="false">
      <c r="C521" s="11"/>
      <c r="K521" s="11"/>
      <c r="L521" s="11"/>
      <c r="O521" s="11"/>
    </row>
    <row r="522" customFormat="false" ht="14.25" hidden="false" customHeight="true" outlineLevel="0" collapsed="false">
      <c r="C522" s="11"/>
      <c r="K522" s="11"/>
      <c r="L522" s="11"/>
      <c r="O522" s="11"/>
    </row>
    <row r="523" customFormat="false" ht="14.25" hidden="false" customHeight="true" outlineLevel="0" collapsed="false">
      <c r="C523" s="11"/>
      <c r="K523" s="11"/>
      <c r="L523" s="11"/>
      <c r="O523" s="11"/>
    </row>
    <row r="524" customFormat="false" ht="14.25" hidden="false" customHeight="true" outlineLevel="0" collapsed="false">
      <c r="C524" s="11"/>
      <c r="K524" s="11"/>
      <c r="L524" s="11"/>
      <c r="O524" s="11"/>
    </row>
    <row r="525" customFormat="false" ht="14.25" hidden="false" customHeight="true" outlineLevel="0" collapsed="false">
      <c r="C525" s="11"/>
      <c r="K525" s="11"/>
      <c r="L525" s="11"/>
      <c r="O525" s="11"/>
    </row>
    <row r="526" customFormat="false" ht="14.25" hidden="false" customHeight="true" outlineLevel="0" collapsed="false">
      <c r="C526" s="11"/>
      <c r="K526" s="11"/>
      <c r="L526" s="11"/>
      <c r="O526" s="11"/>
    </row>
    <row r="527" customFormat="false" ht="14.25" hidden="false" customHeight="true" outlineLevel="0" collapsed="false">
      <c r="C527" s="11"/>
      <c r="K527" s="11"/>
      <c r="L527" s="11"/>
      <c r="O527" s="11"/>
    </row>
    <row r="528" customFormat="false" ht="14.25" hidden="false" customHeight="true" outlineLevel="0" collapsed="false">
      <c r="C528" s="11"/>
      <c r="K528" s="11"/>
      <c r="L528" s="11"/>
      <c r="O528" s="11"/>
    </row>
    <row r="529" customFormat="false" ht="14.25" hidden="false" customHeight="true" outlineLevel="0" collapsed="false">
      <c r="C529" s="11"/>
      <c r="K529" s="11"/>
      <c r="L529" s="11"/>
      <c r="O529" s="11"/>
    </row>
    <row r="530" customFormat="false" ht="14.25" hidden="false" customHeight="true" outlineLevel="0" collapsed="false">
      <c r="C530" s="11"/>
      <c r="K530" s="11"/>
      <c r="L530" s="11"/>
      <c r="O530" s="11"/>
    </row>
    <row r="531" customFormat="false" ht="14.25" hidden="false" customHeight="true" outlineLevel="0" collapsed="false">
      <c r="C531" s="11"/>
      <c r="K531" s="11"/>
      <c r="L531" s="11"/>
      <c r="O531" s="11"/>
    </row>
    <row r="532" customFormat="false" ht="14.25" hidden="false" customHeight="true" outlineLevel="0" collapsed="false">
      <c r="C532" s="11"/>
      <c r="K532" s="11"/>
      <c r="L532" s="11"/>
      <c r="O532" s="11"/>
    </row>
    <row r="533" customFormat="false" ht="14.25" hidden="false" customHeight="true" outlineLevel="0" collapsed="false">
      <c r="C533" s="11"/>
      <c r="K533" s="11"/>
      <c r="L533" s="11"/>
      <c r="O533" s="11"/>
    </row>
    <row r="534" customFormat="false" ht="14.25" hidden="false" customHeight="true" outlineLevel="0" collapsed="false">
      <c r="C534" s="11"/>
      <c r="K534" s="11"/>
      <c r="L534" s="11"/>
      <c r="O534" s="11"/>
    </row>
    <row r="535" customFormat="false" ht="14.25" hidden="false" customHeight="true" outlineLevel="0" collapsed="false">
      <c r="C535" s="11"/>
      <c r="K535" s="11"/>
      <c r="L535" s="11"/>
      <c r="O535" s="11"/>
    </row>
    <row r="536" customFormat="false" ht="14.25" hidden="false" customHeight="true" outlineLevel="0" collapsed="false">
      <c r="C536" s="11"/>
      <c r="K536" s="11"/>
      <c r="L536" s="11"/>
      <c r="O536" s="11"/>
    </row>
    <row r="537" customFormat="false" ht="14.25" hidden="false" customHeight="true" outlineLevel="0" collapsed="false">
      <c r="C537" s="11"/>
      <c r="K537" s="11"/>
      <c r="L537" s="11"/>
      <c r="O537" s="11"/>
    </row>
    <row r="538" customFormat="false" ht="14.25" hidden="false" customHeight="true" outlineLevel="0" collapsed="false">
      <c r="C538" s="11"/>
      <c r="K538" s="11"/>
      <c r="L538" s="11"/>
      <c r="O538" s="11"/>
    </row>
    <row r="539" customFormat="false" ht="14.25" hidden="false" customHeight="true" outlineLevel="0" collapsed="false">
      <c r="C539" s="11"/>
      <c r="K539" s="11"/>
      <c r="L539" s="11"/>
      <c r="O539" s="11"/>
    </row>
    <row r="540" customFormat="false" ht="14.25" hidden="false" customHeight="true" outlineLevel="0" collapsed="false">
      <c r="C540" s="11"/>
      <c r="K540" s="11"/>
      <c r="L540" s="11"/>
      <c r="O540" s="11"/>
    </row>
    <row r="541" customFormat="false" ht="14.25" hidden="false" customHeight="true" outlineLevel="0" collapsed="false">
      <c r="C541" s="11"/>
      <c r="K541" s="11"/>
      <c r="L541" s="11"/>
      <c r="O541" s="11"/>
    </row>
    <row r="542" customFormat="false" ht="14.25" hidden="false" customHeight="true" outlineLevel="0" collapsed="false">
      <c r="C542" s="11"/>
      <c r="K542" s="11"/>
      <c r="L542" s="11"/>
      <c r="O542" s="11"/>
    </row>
    <row r="543" customFormat="false" ht="14.25" hidden="false" customHeight="true" outlineLevel="0" collapsed="false">
      <c r="C543" s="11"/>
      <c r="K543" s="11"/>
      <c r="L543" s="11"/>
      <c r="O543" s="11"/>
    </row>
    <row r="544" customFormat="false" ht="14.25" hidden="false" customHeight="true" outlineLevel="0" collapsed="false">
      <c r="C544" s="11"/>
      <c r="K544" s="11"/>
      <c r="L544" s="11"/>
      <c r="O544" s="11"/>
    </row>
    <row r="545" customFormat="false" ht="14.25" hidden="false" customHeight="true" outlineLevel="0" collapsed="false">
      <c r="C545" s="11"/>
      <c r="K545" s="11"/>
      <c r="L545" s="11"/>
      <c r="O545" s="11"/>
    </row>
    <row r="546" customFormat="false" ht="14.25" hidden="false" customHeight="true" outlineLevel="0" collapsed="false">
      <c r="C546" s="11"/>
      <c r="K546" s="11"/>
      <c r="L546" s="11"/>
      <c r="O546" s="11"/>
    </row>
    <row r="547" customFormat="false" ht="14.25" hidden="false" customHeight="true" outlineLevel="0" collapsed="false">
      <c r="C547" s="11"/>
      <c r="K547" s="11"/>
      <c r="L547" s="11"/>
      <c r="O547" s="11"/>
    </row>
    <row r="548" customFormat="false" ht="14.25" hidden="false" customHeight="true" outlineLevel="0" collapsed="false">
      <c r="C548" s="11"/>
      <c r="K548" s="11"/>
      <c r="L548" s="11"/>
      <c r="O548" s="11"/>
    </row>
    <row r="549" customFormat="false" ht="14.25" hidden="false" customHeight="true" outlineLevel="0" collapsed="false">
      <c r="C549" s="11"/>
      <c r="K549" s="11"/>
      <c r="L549" s="11"/>
      <c r="O549" s="11"/>
    </row>
    <row r="550" customFormat="false" ht="14.25" hidden="false" customHeight="true" outlineLevel="0" collapsed="false">
      <c r="C550" s="11"/>
      <c r="K550" s="11"/>
      <c r="L550" s="11"/>
      <c r="O550" s="11"/>
    </row>
    <row r="551" customFormat="false" ht="14.25" hidden="false" customHeight="true" outlineLevel="0" collapsed="false">
      <c r="C551" s="11"/>
      <c r="K551" s="11"/>
      <c r="L551" s="11"/>
      <c r="O551" s="11"/>
    </row>
    <row r="552" customFormat="false" ht="14.25" hidden="false" customHeight="true" outlineLevel="0" collapsed="false">
      <c r="C552" s="11"/>
      <c r="K552" s="11"/>
      <c r="L552" s="11"/>
      <c r="O552" s="11"/>
    </row>
    <row r="553" customFormat="false" ht="14.25" hidden="false" customHeight="true" outlineLevel="0" collapsed="false">
      <c r="C553" s="11"/>
      <c r="K553" s="11"/>
      <c r="L553" s="11"/>
      <c r="O553" s="11"/>
    </row>
    <row r="554" customFormat="false" ht="14.25" hidden="false" customHeight="true" outlineLevel="0" collapsed="false">
      <c r="C554" s="11"/>
      <c r="K554" s="11"/>
      <c r="L554" s="11"/>
      <c r="O554" s="11"/>
    </row>
    <row r="555" customFormat="false" ht="14.25" hidden="false" customHeight="true" outlineLevel="0" collapsed="false">
      <c r="C555" s="11"/>
      <c r="K555" s="11"/>
      <c r="L555" s="11"/>
      <c r="O555" s="11"/>
    </row>
    <row r="556" customFormat="false" ht="14.25" hidden="false" customHeight="true" outlineLevel="0" collapsed="false">
      <c r="C556" s="11"/>
      <c r="K556" s="11"/>
      <c r="L556" s="11"/>
      <c r="O556" s="11"/>
    </row>
    <row r="557" customFormat="false" ht="14.25" hidden="false" customHeight="true" outlineLevel="0" collapsed="false">
      <c r="C557" s="11"/>
      <c r="K557" s="11"/>
      <c r="L557" s="11"/>
      <c r="O557" s="11"/>
    </row>
    <row r="558" customFormat="false" ht="14.25" hidden="false" customHeight="true" outlineLevel="0" collapsed="false">
      <c r="C558" s="11"/>
      <c r="K558" s="11"/>
      <c r="L558" s="11"/>
      <c r="O558" s="11"/>
    </row>
    <row r="559" customFormat="false" ht="14.25" hidden="false" customHeight="true" outlineLevel="0" collapsed="false">
      <c r="C559" s="11"/>
      <c r="K559" s="11"/>
      <c r="L559" s="11"/>
      <c r="O559" s="11"/>
    </row>
    <row r="560" customFormat="false" ht="14.25" hidden="false" customHeight="true" outlineLevel="0" collapsed="false">
      <c r="C560" s="11"/>
      <c r="K560" s="11"/>
      <c r="L560" s="11"/>
      <c r="O560" s="11"/>
    </row>
    <row r="561" customFormat="false" ht="14.25" hidden="false" customHeight="true" outlineLevel="0" collapsed="false">
      <c r="C561" s="11"/>
      <c r="K561" s="11"/>
      <c r="L561" s="11"/>
      <c r="O561" s="11"/>
    </row>
    <row r="562" customFormat="false" ht="14.25" hidden="false" customHeight="true" outlineLevel="0" collapsed="false">
      <c r="C562" s="11"/>
      <c r="K562" s="11"/>
      <c r="L562" s="11"/>
      <c r="O562" s="11"/>
    </row>
    <row r="563" customFormat="false" ht="14.25" hidden="false" customHeight="true" outlineLevel="0" collapsed="false">
      <c r="C563" s="11"/>
      <c r="K563" s="11"/>
      <c r="L563" s="11"/>
      <c r="O563" s="11"/>
    </row>
    <row r="564" customFormat="false" ht="14.25" hidden="false" customHeight="true" outlineLevel="0" collapsed="false">
      <c r="C564" s="11"/>
      <c r="K564" s="11"/>
      <c r="L564" s="11"/>
      <c r="O564" s="11"/>
    </row>
    <row r="565" customFormat="false" ht="14.25" hidden="false" customHeight="true" outlineLevel="0" collapsed="false">
      <c r="C565" s="11"/>
      <c r="K565" s="11"/>
      <c r="L565" s="11"/>
      <c r="O565" s="11"/>
    </row>
    <row r="566" customFormat="false" ht="14.25" hidden="false" customHeight="true" outlineLevel="0" collapsed="false">
      <c r="C566" s="11"/>
      <c r="K566" s="11"/>
      <c r="L566" s="11"/>
      <c r="O566" s="11"/>
    </row>
    <row r="567" customFormat="false" ht="14.25" hidden="false" customHeight="true" outlineLevel="0" collapsed="false">
      <c r="C567" s="11"/>
      <c r="K567" s="11"/>
      <c r="L567" s="11"/>
      <c r="O567" s="11"/>
    </row>
    <row r="568" customFormat="false" ht="14.25" hidden="false" customHeight="true" outlineLevel="0" collapsed="false">
      <c r="C568" s="11"/>
      <c r="K568" s="11"/>
      <c r="L568" s="11"/>
      <c r="O568" s="11"/>
    </row>
    <row r="569" customFormat="false" ht="14.25" hidden="false" customHeight="true" outlineLevel="0" collapsed="false">
      <c r="C569" s="11"/>
      <c r="K569" s="11"/>
      <c r="L569" s="11"/>
      <c r="O569" s="11"/>
    </row>
    <row r="570" customFormat="false" ht="14.25" hidden="false" customHeight="true" outlineLevel="0" collapsed="false">
      <c r="C570" s="11"/>
      <c r="K570" s="11"/>
      <c r="L570" s="11"/>
      <c r="O570" s="11"/>
    </row>
    <row r="571" customFormat="false" ht="14.25" hidden="false" customHeight="true" outlineLevel="0" collapsed="false">
      <c r="C571" s="11"/>
      <c r="K571" s="11"/>
      <c r="L571" s="11"/>
      <c r="O571" s="11"/>
    </row>
    <row r="572" customFormat="false" ht="14.25" hidden="false" customHeight="true" outlineLevel="0" collapsed="false">
      <c r="C572" s="11"/>
      <c r="K572" s="11"/>
      <c r="L572" s="11"/>
      <c r="O572" s="11"/>
    </row>
    <row r="573" customFormat="false" ht="14.25" hidden="false" customHeight="true" outlineLevel="0" collapsed="false">
      <c r="C573" s="11"/>
      <c r="K573" s="11"/>
      <c r="L573" s="11"/>
      <c r="O573" s="11"/>
    </row>
    <row r="574" customFormat="false" ht="14.25" hidden="false" customHeight="true" outlineLevel="0" collapsed="false">
      <c r="C574" s="11"/>
      <c r="K574" s="11"/>
      <c r="L574" s="11"/>
      <c r="O574" s="11"/>
    </row>
    <row r="575" customFormat="false" ht="14.25" hidden="false" customHeight="true" outlineLevel="0" collapsed="false">
      <c r="C575" s="11"/>
      <c r="K575" s="11"/>
      <c r="L575" s="11"/>
      <c r="O575" s="11"/>
    </row>
    <row r="576" customFormat="false" ht="14.25" hidden="false" customHeight="true" outlineLevel="0" collapsed="false">
      <c r="C576" s="11"/>
      <c r="K576" s="11"/>
      <c r="L576" s="11"/>
      <c r="O576" s="11"/>
    </row>
    <row r="577" customFormat="false" ht="14.25" hidden="false" customHeight="true" outlineLevel="0" collapsed="false">
      <c r="C577" s="11"/>
      <c r="K577" s="11"/>
      <c r="L577" s="11"/>
      <c r="O577" s="11"/>
    </row>
    <row r="578" customFormat="false" ht="14.25" hidden="false" customHeight="true" outlineLevel="0" collapsed="false">
      <c r="C578" s="11"/>
      <c r="K578" s="11"/>
      <c r="L578" s="11"/>
      <c r="O578" s="11"/>
    </row>
    <row r="579" customFormat="false" ht="14.25" hidden="false" customHeight="true" outlineLevel="0" collapsed="false">
      <c r="C579" s="11"/>
      <c r="K579" s="11"/>
      <c r="L579" s="11"/>
      <c r="O579" s="11"/>
    </row>
    <row r="580" customFormat="false" ht="14.25" hidden="false" customHeight="true" outlineLevel="0" collapsed="false">
      <c r="C580" s="11"/>
      <c r="K580" s="11"/>
      <c r="L580" s="11"/>
      <c r="O580" s="11"/>
    </row>
    <row r="581" customFormat="false" ht="14.25" hidden="false" customHeight="true" outlineLevel="0" collapsed="false">
      <c r="C581" s="11"/>
      <c r="K581" s="11"/>
      <c r="L581" s="11"/>
      <c r="O581" s="11"/>
    </row>
    <row r="582" customFormat="false" ht="14.25" hidden="false" customHeight="true" outlineLevel="0" collapsed="false">
      <c r="C582" s="11"/>
      <c r="K582" s="11"/>
      <c r="L582" s="11"/>
      <c r="O582" s="11"/>
    </row>
    <row r="583" customFormat="false" ht="14.25" hidden="false" customHeight="true" outlineLevel="0" collapsed="false">
      <c r="C583" s="11"/>
      <c r="K583" s="11"/>
      <c r="L583" s="11"/>
      <c r="O583" s="11"/>
    </row>
    <row r="584" customFormat="false" ht="14.25" hidden="false" customHeight="true" outlineLevel="0" collapsed="false">
      <c r="C584" s="11"/>
      <c r="K584" s="11"/>
      <c r="L584" s="11"/>
      <c r="O584" s="11"/>
    </row>
    <row r="585" customFormat="false" ht="14.25" hidden="false" customHeight="true" outlineLevel="0" collapsed="false">
      <c r="C585" s="11"/>
      <c r="K585" s="11"/>
      <c r="L585" s="11"/>
      <c r="O585" s="11"/>
    </row>
    <row r="586" customFormat="false" ht="14.25" hidden="false" customHeight="true" outlineLevel="0" collapsed="false">
      <c r="C586" s="11"/>
      <c r="K586" s="11"/>
      <c r="L586" s="11"/>
      <c r="O586" s="11"/>
    </row>
    <row r="587" customFormat="false" ht="14.25" hidden="false" customHeight="true" outlineLevel="0" collapsed="false">
      <c r="C587" s="11"/>
      <c r="K587" s="11"/>
      <c r="L587" s="11"/>
      <c r="O587" s="11"/>
    </row>
    <row r="588" customFormat="false" ht="14.25" hidden="false" customHeight="true" outlineLevel="0" collapsed="false">
      <c r="C588" s="11"/>
      <c r="K588" s="11"/>
      <c r="L588" s="11"/>
      <c r="O588" s="11"/>
    </row>
    <row r="589" customFormat="false" ht="14.25" hidden="false" customHeight="true" outlineLevel="0" collapsed="false">
      <c r="C589" s="11"/>
      <c r="K589" s="11"/>
      <c r="L589" s="11"/>
      <c r="O589" s="11"/>
    </row>
    <row r="590" customFormat="false" ht="14.25" hidden="false" customHeight="true" outlineLevel="0" collapsed="false">
      <c r="C590" s="11"/>
      <c r="K590" s="11"/>
      <c r="L590" s="11"/>
      <c r="O590" s="11"/>
    </row>
    <row r="591" customFormat="false" ht="14.25" hidden="false" customHeight="true" outlineLevel="0" collapsed="false">
      <c r="C591" s="11"/>
      <c r="K591" s="11"/>
      <c r="L591" s="11"/>
      <c r="O591" s="11"/>
    </row>
    <row r="592" customFormat="false" ht="14.25" hidden="false" customHeight="true" outlineLevel="0" collapsed="false">
      <c r="C592" s="11"/>
      <c r="K592" s="11"/>
      <c r="L592" s="11"/>
      <c r="O592" s="11"/>
    </row>
    <row r="593" customFormat="false" ht="14.25" hidden="false" customHeight="true" outlineLevel="0" collapsed="false">
      <c r="C593" s="11"/>
      <c r="K593" s="11"/>
      <c r="L593" s="11"/>
      <c r="O593" s="11"/>
    </row>
    <row r="594" customFormat="false" ht="14.25" hidden="false" customHeight="true" outlineLevel="0" collapsed="false">
      <c r="C594" s="11"/>
      <c r="K594" s="11"/>
      <c r="L594" s="11"/>
      <c r="O594" s="11"/>
    </row>
    <row r="595" customFormat="false" ht="14.25" hidden="false" customHeight="true" outlineLevel="0" collapsed="false">
      <c r="C595" s="11"/>
      <c r="K595" s="11"/>
      <c r="L595" s="11"/>
      <c r="O595" s="11"/>
    </row>
    <row r="596" customFormat="false" ht="14.25" hidden="false" customHeight="true" outlineLevel="0" collapsed="false">
      <c r="C596" s="11"/>
      <c r="K596" s="11"/>
      <c r="L596" s="11"/>
      <c r="O596" s="11"/>
    </row>
    <row r="597" customFormat="false" ht="14.25" hidden="false" customHeight="true" outlineLevel="0" collapsed="false">
      <c r="C597" s="11"/>
      <c r="K597" s="11"/>
      <c r="L597" s="11"/>
      <c r="O597" s="11"/>
    </row>
    <row r="598" customFormat="false" ht="14.25" hidden="false" customHeight="true" outlineLevel="0" collapsed="false">
      <c r="C598" s="11"/>
      <c r="K598" s="11"/>
      <c r="L598" s="11"/>
      <c r="O598" s="11"/>
    </row>
    <row r="599" customFormat="false" ht="14.25" hidden="false" customHeight="true" outlineLevel="0" collapsed="false">
      <c r="C599" s="11"/>
      <c r="K599" s="11"/>
      <c r="L599" s="11"/>
      <c r="O599" s="11"/>
    </row>
    <row r="600" customFormat="false" ht="14.25" hidden="false" customHeight="true" outlineLevel="0" collapsed="false">
      <c r="C600" s="11"/>
      <c r="K600" s="11"/>
      <c r="L600" s="11"/>
      <c r="O600" s="11"/>
    </row>
    <row r="601" customFormat="false" ht="14.25" hidden="false" customHeight="true" outlineLevel="0" collapsed="false">
      <c r="C601" s="11"/>
      <c r="K601" s="11"/>
      <c r="L601" s="11"/>
      <c r="O601" s="11"/>
    </row>
    <row r="602" customFormat="false" ht="14.25" hidden="false" customHeight="true" outlineLevel="0" collapsed="false">
      <c r="C602" s="11"/>
      <c r="K602" s="11"/>
      <c r="L602" s="11"/>
      <c r="O602" s="11"/>
    </row>
    <row r="603" customFormat="false" ht="14.25" hidden="false" customHeight="true" outlineLevel="0" collapsed="false">
      <c r="C603" s="11"/>
      <c r="K603" s="11"/>
      <c r="L603" s="11"/>
      <c r="O603" s="11"/>
    </row>
    <row r="604" customFormat="false" ht="14.25" hidden="false" customHeight="true" outlineLevel="0" collapsed="false">
      <c r="C604" s="11"/>
      <c r="K604" s="11"/>
      <c r="L604" s="11"/>
      <c r="O604" s="11"/>
    </row>
    <row r="605" customFormat="false" ht="14.25" hidden="false" customHeight="true" outlineLevel="0" collapsed="false">
      <c r="C605" s="11"/>
      <c r="K605" s="11"/>
      <c r="L605" s="11"/>
      <c r="O605" s="11"/>
    </row>
    <row r="606" customFormat="false" ht="14.25" hidden="false" customHeight="true" outlineLevel="0" collapsed="false">
      <c r="C606" s="11"/>
      <c r="K606" s="11"/>
      <c r="L606" s="11"/>
      <c r="O606" s="11"/>
    </row>
    <row r="607" customFormat="false" ht="14.25" hidden="false" customHeight="true" outlineLevel="0" collapsed="false">
      <c r="C607" s="11"/>
      <c r="K607" s="11"/>
      <c r="L607" s="11"/>
      <c r="O607" s="11"/>
    </row>
    <row r="608" customFormat="false" ht="14.25" hidden="false" customHeight="true" outlineLevel="0" collapsed="false">
      <c r="C608" s="11"/>
      <c r="K608" s="11"/>
      <c r="L608" s="11"/>
      <c r="O608" s="11"/>
    </row>
    <row r="609" customFormat="false" ht="14.25" hidden="false" customHeight="true" outlineLevel="0" collapsed="false">
      <c r="C609" s="11"/>
      <c r="K609" s="11"/>
      <c r="L609" s="11"/>
      <c r="O609" s="11"/>
    </row>
    <row r="610" customFormat="false" ht="14.25" hidden="false" customHeight="true" outlineLevel="0" collapsed="false">
      <c r="C610" s="11"/>
      <c r="K610" s="11"/>
      <c r="L610" s="11"/>
      <c r="O610" s="11"/>
    </row>
    <row r="611" customFormat="false" ht="14.25" hidden="false" customHeight="true" outlineLevel="0" collapsed="false">
      <c r="C611" s="11"/>
      <c r="K611" s="11"/>
      <c r="L611" s="11"/>
      <c r="O611" s="11"/>
    </row>
    <row r="612" customFormat="false" ht="14.25" hidden="false" customHeight="true" outlineLevel="0" collapsed="false">
      <c r="C612" s="11"/>
      <c r="K612" s="11"/>
      <c r="L612" s="11"/>
      <c r="O612" s="11"/>
    </row>
    <row r="613" customFormat="false" ht="14.25" hidden="false" customHeight="true" outlineLevel="0" collapsed="false">
      <c r="C613" s="11"/>
      <c r="K613" s="11"/>
      <c r="L613" s="11"/>
      <c r="O613" s="11"/>
    </row>
    <row r="614" customFormat="false" ht="14.25" hidden="false" customHeight="true" outlineLevel="0" collapsed="false">
      <c r="C614" s="11"/>
      <c r="K614" s="11"/>
      <c r="L614" s="11"/>
      <c r="O614" s="11"/>
    </row>
    <row r="615" customFormat="false" ht="14.25" hidden="false" customHeight="true" outlineLevel="0" collapsed="false">
      <c r="C615" s="11"/>
      <c r="K615" s="11"/>
      <c r="L615" s="11"/>
      <c r="O615" s="11"/>
    </row>
    <row r="616" customFormat="false" ht="14.25" hidden="false" customHeight="true" outlineLevel="0" collapsed="false">
      <c r="C616" s="11"/>
      <c r="K616" s="11"/>
      <c r="L616" s="11"/>
      <c r="O616" s="11"/>
    </row>
    <row r="617" customFormat="false" ht="14.25" hidden="false" customHeight="true" outlineLevel="0" collapsed="false">
      <c r="C617" s="11"/>
      <c r="K617" s="11"/>
      <c r="L617" s="11"/>
      <c r="O617" s="11"/>
    </row>
    <row r="618" customFormat="false" ht="14.25" hidden="false" customHeight="true" outlineLevel="0" collapsed="false">
      <c r="C618" s="11"/>
      <c r="K618" s="11"/>
      <c r="L618" s="11"/>
      <c r="O618" s="11"/>
    </row>
    <row r="619" customFormat="false" ht="14.25" hidden="false" customHeight="true" outlineLevel="0" collapsed="false">
      <c r="C619" s="11"/>
      <c r="K619" s="11"/>
      <c r="L619" s="11"/>
      <c r="O619" s="11"/>
    </row>
    <row r="620" customFormat="false" ht="14.25" hidden="false" customHeight="true" outlineLevel="0" collapsed="false">
      <c r="C620" s="11"/>
      <c r="K620" s="11"/>
      <c r="L620" s="11"/>
      <c r="O620" s="11"/>
    </row>
    <row r="621" customFormat="false" ht="14.25" hidden="false" customHeight="true" outlineLevel="0" collapsed="false">
      <c r="C621" s="11"/>
      <c r="K621" s="11"/>
      <c r="L621" s="11"/>
      <c r="O621" s="11"/>
    </row>
    <row r="622" customFormat="false" ht="14.25" hidden="false" customHeight="true" outlineLevel="0" collapsed="false">
      <c r="C622" s="11"/>
      <c r="K622" s="11"/>
      <c r="L622" s="11"/>
      <c r="O622" s="11"/>
    </row>
    <row r="623" customFormat="false" ht="14.25" hidden="false" customHeight="true" outlineLevel="0" collapsed="false">
      <c r="C623" s="11"/>
      <c r="K623" s="11"/>
      <c r="L623" s="11"/>
      <c r="O623" s="11"/>
    </row>
    <row r="624" customFormat="false" ht="14.25" hidden="false" customHeight="true" outlineLevel="0" collapsed="false">
      <c r="C624" s="11"/>
      <c r="K624" s="11"/>
      <c r="L624" s="11"/>
      <c r="O624" s="11"/>
    </row>
    <row r="625" customFormat="false" ht="14.25" hidden="false" customHeight="true" outlineLevel="0" collapsed="false">
      <c r="C625" s="11"/>
      <c r="K625" s="11"/>
      <c r="L625" s="11"/>
      <c r="O625" s="11"/>
    </row>
    <row r="626" customFormat="false" ht="14.25" hidden="false" customHeight="true" outlineLevel="0" collapsed="false">
      <c r="C626" s="11"/>
      <c r="K626" s="11"/>
      <c r="L626" s="11"/>
      <c r="O626" s="11"/>
    </row>
    <row r="627" customFormat="false" ht="14.25" hidden="false" customHeight="true" outlineLevel="0" collapsed="false">
      <c r="C627" s="11"/>
      <c r="K627" s="11"/>
      <c r="L627" s="11"/>
      <c r="O627" s="11"/>
    </row>
    <row r="628" customFormat="false" ht="14.25" hidden="false" customHeight="true" outlineLevel="0" collapsed="false">
      <c r="C628" s="11"/>
      <c r="K628" s="11"/>
      <c r="L628" s="11"/>
      <c r="O628" s="11"/>
    </row>
    <row r="629" customFormat="false" ht="14.25" hidden="false" customHeight="true" outlineLevel="0" collapsed="false">
      <c r="C629" s="11"/>
      <c r="K629" s="11"/>
      <c r="L629" s="11"/>
      <c r="O629" s="11"/>
    </row>
    <row r="630" customFormat="false" ht="14.25" hidden="false" customHeight="true" outlineLevel="0" collapsed="false">
      <c r="C630" s="11"/>
      <c r="K630" s="11"/>
      <c r="L630" s="11"/>
      <c r="O630" s="11"/>
    </row>
    <row r="631" customFormat="false" ht="14.25" hidden="false" customHeight="true" outlineLevel="0" collapsed="false">
      <c r="C631" s="11"/>
      <c r="K631" s="11"/>
      <c r="L631" s="11"/>
      <c r="O631" s="11"/>
    </row>
    <row r="632" customFormat="false" ht="14.25" hidden="false" customHeight="true" outlineLevel="0" collapsed="false">
      <c r="C632" s="11"/>
      <c r="K632" s="11"/>
      <c r="L632" s="11"/>
      <c r="O632" s="11"/>
    </row>
    <row r="633" customFormat="false" ht="14.25" hidden="false" customHeight="true" outlineLevel="0" collapsed="false">
      <c r="C633" s="11"/>
      <c r="K633" s="11"/>
      <c r="L633" s="11"/>
      <c r="O633" s="11"/>
    </row>
    <row r="634" customFormat="false" ht="14.25" hidden="false" customHeight="true" outlineLevel="0" collapsed="false">
      <c r="C634" s="11"/>
      <c r="K634" s="11"/>
      <c r="L634" s="11"/>
      <c r="O634" s="11"/>
    </row>
    <row r="635" customFormat="false" ht="14.25" hidden="false" customHeight="true" outlineLevel="0" collapsed="false">
      <c r="C635" s="11"/>
      <c r="K635" s="11"/>
      <c r="L635" s="11"/>
      <c r="O635" s="11"/>
    </row>
    <row r="636" customFormat="false" ht="14.25" hidden="false" customHeight="true" outlineLevel="0" collapsed="false">
      <c r="C636" s="11"/>
      <c r="K636" s="11"/>
      <c r="L636" s="11"/>
      <c r="O636" s="11"/>
    </row>
    <row r="637" customFormat="false" ht="14.25" hidden="false" customHeight="true" outlineLevel="0" collapsed="false">
      <c r="C637" s="11"/>
      <c r="K637" s="11"/>
      <c r="L637" s="11"/>
      <c r="O637" s="11"/>
    </row>
    <row r="638" customFormat="false" ht="14.25" hidden="false" customHeight="true" outlineLevel="0" collapsed="false">
      <c r="C638" s="11"/>
      <c r="K638" s="11"/>
      <c r="L638" s="11"/>
      <c r="O638" s="11"/>
    </row>
    <row r="639" customFormat="false" ht="14.25" hidden="false" customHeight="true" outlineLevel="0" collapsed="false">
      <c r="C639" s="11"/>
      <c r="K639" s="11"/>
      <c r="L639" s="11"/>
      <c r="O639" s="11"/>
    </row>
    <row r="640" customFormat="false" ht="14.25" hidden="false" customHeight="true" outlineLevel="0" collapsed="false">
      <c r="C640" s="11"/>
      <c r="K640" s="11"/>
      <c r="L640" s="11"/>
      <c r="O640" s="11"/>
    </row>
    <row r="641" customFormat="false" ht="14.25" hidden="false" customHeight="true" outlineLevel="0" collapsed="false">
      <c r="C641" s="11"/>
      <c r="K641" s="11"/>
      <c r="L641" s="11"/>
      <c r="O641" s="11"/>
    </row>
    <row r="642" customFormat="false" ht="14.25" hidden="false" customHeight="true" outlineLevel="0" collapsed="false">
      <c r="C642" s="11"/>
      <c r="K642" s="11"/>
      <c r="L642" s="11"/>
      <c r="O642" s="11"/>
    </row>
    <row r="643" customFormat="false" ht="14.25" hidden="false" customHeight="true" outlineLevel="0" collapsed="false">
      <c r="C643" s="11"/>
      <c r="K643" s="11"/>
      <c r="L643" s="11"/>
      <c r="O643" s="11"/>
    </row>
    <row r="644" customFormat="false" ht="14.25" hidden="false" customHeight="true" outlineLevel="0" collapsed="false">
      <c r="C644" s="11"/>
      <c r="K644" s="11"/>
      <c r="L644" s="11"/>
      <c r="O644" s="11"/>
    </row>
    <row r="645" customFormat="false" ht="14.25" hidden="false" customHeight="true" outlineLevel="0" collapsed="false">
      <c r="C645" s="11"/>
      <c r="K645" s="11"/>
      <c r="L645" s="11"/>
      <c r="O645" s="11"/>
    </row>
    <row r="646" customFormat="false" ht="14.25" hidden="false" customHeight="true" outlineLevel="0" collapsed="false">
      <c r="C646" s="11"/>
      <c r="K646" s="11"/>
      <c r="L646" s="11"/>
      <c r="O646" s="11"/>
    </row>
    <row r="647" customFormat="false" ht="14.25" hidden="false" customHeight="true" outlineLevel="0" collapsed="false">
      <c r="C647" s="11"/>
      <c r="K647" s="11"/>
      <c r="L647" s="11"/>
      <c r="O647" s="11"/>
    </row>
    <row r="648" customFormat="false" ht="14.25" hidden="false" customHeight="true" outlineLevel="0" collapsed="false">
      <c r="C648" s="11"/>
      <c r="K648" s="11"/>
      <c r="L648" s="11"/>
      <c r="O648" s="11"/>
    </row>
    <row r="649" customFormat="false" ht="14.25" hidden="false" customHeight="true" outlineLevel="0" collapsed="false">
      <c r="C649" s="11"/>
      <c r="K649" s="11"/>
      <c r="L649" s="11"/>
      <c r="O649" s="11"/>
    </row>
    <row r="650" customFormat="false" ht="14.25" hidden="false" customHeight="true" outlineLevel="0" collapsed="false">
      <c r="C650" s="11"/>
      <c r="K650" s="11"/>
      <c r="L650" s="11"/>
      <c r="O650" s="11"/>
    </row>
    <row r="651" customFormat="false" ht="14.25" hidden="false" customHeight="true" outlineLevel="0" collapsed="false">
      <c r="C651" s="11"/>
      <c r="K651" s="11"/>
      <c r="L651" s="11"/>
      <c r="O651" s="11"/>
    </row>
    <row r="652" customFormat="false" ht="14.25" hidden="false" customHeight="true" outlineLevel="0" collapsed="false">
      <c r="C652" s="11"/>
      <c r="K652" s="11"/>
      <c r="L652" s="11"/>
      <c r="O652" s="11"/>
    </row>
    <row r="653" customFormat="false" ht="14.25" hidden="false" customHeight="true" outlineLevel="0" collapsed="false">
      <c r="C653" s="11"/>
      <c r="K653" s="11"/>
      <c r="L653" s="11"/>
      <c r="O653" s="11"/>
    </row>
    <row r="654" customFormat="false" ht="14.25" hidden="false" customHeight="true" outlineLevel="0" collapsed="false">
      <c r="C654" s="11"/>
      <c r="K654" s="11"/>
      <c r="L654" s="11"/>
      <c r="O654" s="11"/>
    </row>
    <row r="655" customFormat="false" ht="14.25" hidden="false" customHeight="true" outlineLevel="0" collapsed="false">
      <c r="C655" s="11"/>
      <c r="K655" s="11"/>
      <c r="L655" s="11"/>
      <c r="O655" s="11"/>
    </row>
    <row r="656" customFormat="false" ht="14.25" hidden="false" customHeight="true" outlineLevel="0" collapsed="false">
      <c r="C656" s="11"/>
      <c r="K656" s="11"/>
      <c r="L656" s="11"/>
      <c r="O656" s="11"/>
    </row>
    <row r="657" customFormat="false" ht="14.25" hidden="false" customHeight="true" outlineLevel="0" collapsed="false">
      <c r="C657" s="11"/>
      <c r="K657" s="11"/>
      <c r="L657" s="11"/>
      <c r="O657" s="11"/>
    </row>
    <row r="658" customFormat="false" ht="14.25" hidden="false" customHeight="true" outlineLevel="0" collapsed="false">
      <c r="C658" s="11"/>
      <c r="K658" s="11"/>
      <c r="L658" s="11"/>
      <c r="O658" s="11"/>
    </row>
    <row r="659" customFormat="false" ht="14.25" hidden="false" customHeight="true" outlineLevel="0" collapsed="false">
      <c r="C659" s="11"/>
      <c r="K659" s="11"/>
      <c r="L659" s="11"/>
      <c r="O659" s="11"/>
    </row>
    <row r="660" customFormat="false" ht="14.25" hidden="false" customHeight="true" outlineLevel="0" collapsed="false">
      <c r="C660" s="11"/>
      <c r="K660" s="11"/>
      <c r="L660" s="11"/>
      <c r="O660" s="11"/>
    </row>
    <row r="661" customFormat="false" ht="14.25" hidden="false" customHeight="true" outlineLevel="0" collapsed="false">
      <c r="C661" s="11"/>
      <c r="K661" s="11"/>
      <c r="L661" s="11"/>
      <c r="O661" s="11"/>
    </row>
    <row r="662" customFormat="false" ht="14.25" hidden="false" customHeight="true" outlineLevel="0" collapsed="false">
      <c r="C662" s="11"/>
      <c r="K662" s="11"/>
      <c r="L662" s="11"/>
      <c r="O662" s="11"/>
    </row>
    <row r="663" customFormat="false" ht="14.25" hidden="false" customHeight="true" outlineLevel="0" collapsed="false">
      <c r="C663" s="11"/>
      <c r="K663" s="11"/>
      <c r="L663" s="11"/>
      <c r="O663" s="11"/>
    </row>
    <row r="664" customFormat="false" ht="14.25" hidden="false" customHeight="true" outlineLevel="0" collapsed="false">
      <c r="C664" s="11"/>
      <c r="K664" s="11"/>
      <c r="L664" s="11"/>
      <c r="O664" s="11"/>
    </row>
    <row r="665" customFormat="false" ht="14.25" hidden="false" customHeight="true" outlineLevel="0" collapsed="false">
      <c r="C665" s="11"/>
      <c r="K665" s="11"/>
      <c r="L665" s="11"/>
      <c r="O665" s="11"/>
    </row>
    <row r="666" customFormat="false" ht="14.25" hidden="false" customHeight="true" outlineLevel="0" collapsed="false">
      <c r="C666" s="11"/>
      <c r="K666" s="11"/>
      <c r="L666" s="11"/>
      <c r="O666" s="11"/>
    </row>
    <row r="667" customFormat="false" ht="14.25" hidden="false" customHeight="true" outlineLevel="0" collapsed="false">
      <c r="C667" s="11"/>
      <c r="K667" s="11"/>
      <c r="L667" s="11"/>
      <c r="O667" s="11"/>
    </row>
    <row r="668" customFormat="false" ht="14.25" hidden="false" customHeight="true" outlineLevel="0" collapsed="false">
      <c r="C668" s="11"/>
      <c r="K668" s="11"/>
      <c r="L668" s="11"/>
      <c r="O668" s="11"/>
    </row>
    <row r="669" customFormat="false" ht="14.25" hidden="false" customHeight="true" outlineLevel="0" collapsed="false">
      <c r="C669" s="11"/>
      <c r="K669" s="11"/>
      <c r="L669" s="11"/>
      <c r="O669" s="11"/>
    </row>
    <row r="670" customFormat="false" ht="14.25" hidden="false" customHeight="true" outlineLevel="0" collapsed="false">
      <c r="C670" s="11"/>
      <c r="K670" s="11"/>
      <c r="L670" s="11"/>
      <c r="O670" s="11"/>
    </row>
    <row r="671" customFormat="false" ht="14.25" hidden="false" customHeight="true" outlineLevel="0" collapsed="false">
      <c r="C671" s="11"/>
      <c r="K671" s="11"/>
      <c r="L671" s="11"/>
      <c r="O671" s="11"/>
    </row>
    <row r="672" customFormat="false" ht="14.25" hidden="false" customHeight="true" outlineLevel="0" collapsed="false">
      <c r="C672" s="11"/>
      <c r="K672" s="11"/>
      <c r="L672" s="11"/>
      <c r="O672" s="11"/>
    </row>
    <row r="673" customFormat="false" ht="14.25" hidden="false" customHeight="true" outlineLevel="0" collapsed="false">
      <c r="C673" s="11"/>
      <c r="K673" s="11"/>
      <c r="L673" s="11"/>
      <c r="O673" s="11"/>
    </row>
    <row r="674" customFormat="false" ht="14.25" hidden="false" customHeight="true" outlineLevel="0" collapsed="false">
      <c r="C674" s="11"/>
      <c r="K674" s="11"/>
      <c r="L674" s="11"/>
      <c r="O674" s="11"/>
    </row>
    <row r="675" customFormat="false" ht="14.25" hidden="false" customHeight="true" outlineLevel="0" collapsed="false">
      <c r="C675" s="11"/>
      <c r="K675" s="11"/>
      <c r="L675" s="11"/>
      <c r="O675" s="11"/>
    </row>
    <row r="676" customFormat="false" ht="14.25" hidden="false" customHeight="true" outlineLevel="0" collapsed="false">
      <c r="C676" s="11"/>
      <c r="K676" s="11"/>
      <c r="L676" s="11"/>
      <c r="O676" s="11"/>
    </row>
    <row r="677" customFormat="false" ht="14.25" hidden="false" customHeight="true" outlineLevel="0" collapsed="false">
      <c r="C677" s="11"/>
      <c r="K677" s="11"/>
      <c r="L677" s="11"/>
      <c r="O677" s="11"/>
    </row>
    <row r="678" customFormat="false" ht="14.25" hidden="false" customHeight="true" outlineLevel="0" collapsed="false">
      <c r="C678" s="11"/>
      <c r="K678" s="11"/>
      <c r="L678" s="11"/>
      <c r="O678" s="11"/>
    </row>
    <row r="679" customFormat="false" ht="14.25" hidden="false" customHeight="true" outlineLevel="0" collapsed="false">
      <c r="C679" s="11"/>
      <c r="K679" s="11"/>
      <c r="L679" s="11"/>
      <c r="O679" s="11"/>
    </row>
    <row r="680" customFormat="false" ht="14.25" hidden="false" customHeight="true" outlineLevel="0" collapsed="false">
      <c r="C680" s="11"/>
      <c r="K680" s="11"/>
      <c r="L680" s="11"/>
      <c r="O680" s="11"/>
    </row>
    <row r="681" customFormat="false" ht="14.25" hidden="false" customHeight="true" outlineLevel="0" collapsed="false">
      <c r="C681" s="11"/>
      <c r="K681" s="11"/>
      <c r="L681" s="11"/>
      <c r="O681" s="11"/>
    </row>
    <row r="682" customFormat="false" ht="14.25" hidden="false" customHeight="true" outlineLevel="0" collapsed="false">
      <c r="C682" s="11"/>
      <c r="K682" s="11"/>
      <c r="L682" s="11"/>
      <c r="O682" s="11"/>
    </row>
    <row r="683" customFormat="false" ht="14.25" hidden="false" customHeight="true" outlineLevel="0" collapsed="false">
      <c r="C683" s="11"/>
      <c r="K683" s="11"/>
      <c r="L683" s="11"/>
      <c r="O683" s="11"/>
    </row>
    <row r="684" customFormat="false" ht="14.25" hidden="false" customHeight="true" outlineLevel="0" collapsed="false">
      <c r="C684" s="11"/>
      <c r="K684" s="11"/>
      <c r="L684" s="11"/>
      <c r="O684" s="11"/>
    </row>
    <row r="685" customFormat="false" ht="14.25" hidden="false" customHeight="true" outlineLevel="0" collapsed="false">
      <c r="C685" s="11"/>
      <c r="K685" s="11"/>
      <c r="L685" s="11"/>
      <c r="O685" s="11"/>
    </row>
    <row r="686" customFormat="false" ht="14.25" hidden="false" customHeight="true" outlineLevel="0" collapsed="false">
      <c r="C686" s="11"/>
      <c r="K686" s="11"/>
      <c r="L686" s="11"/>
      <c r="O686" s="11"/>
    </row>
    <row r="687" customFormat="false" ht="14.25" hidden="false" customHeight="true" outlineLevel="0" collapsed="false">
      <c r="C687" s="11"/>
      <c r="K687" s="11"/>
      <c r="L687" s="11"/>
      <c r="O687" s="11"/>
    </row>
    <row r="688" customFormat="false" ht="14.25" hidden="false" customHeight="true" outlineLevel="0" collapsed="false">
      <c r="C688" s="11"/>
      <c r="K688" s="11"/>
      <c r="L688" s="11"/>
      <c r="O688" s="11"/>
    </row>
    <row r="689" customFormat="false" ht="14.25" hidden="false" customHeight="true" outlineLevel="0" collapsed="false">
      <c r="C689" s="11"/>
      <c r="K689" s="11"/>
      <c r="L689" s="11"/>
      <c r="O689" s="11"/>
    </row>
    <row r="690" customFormat="false" ht="14.25" hidden="false" customHeight="true" outlineLevel="0" collapsed="false">
      <c r="C690" s="11"/>
      <c r="K690" s="11"/>
      <c r="L690" s="11"/>
      <c r="O690" s="11"/>
    </row>
    <row r="691" customFormat="false" ht="14.25" hidden="false" customHeight="true" outlineLevel="0" collapsed="false">
      <c r="C691" s="11"/>
      <c r="K691" s="11"/>
      <c r="L691" s="11"/>
      <c r="O691" s="11"/>
    </row>
    <row r="692" customFormat="false" ht="14.25" hidden="false" customHeight="true" outlineLevel="0" collapsed="false">
      <c r="C692" s="11"/>
      <c r="K692" s="11"/>
      <c r="L692" s="11"/>
      <c r="O692" s="11"/>
    </row>
    <row r="693" customFormat="false" ht="14.25" hidden="false" customHeight="true" outlineLevel="0" collapsed="false">
      <c r="C693" s="11"/>
      <c r="K693" s="11"/>
      <c r="L693" s="11"/>
      <c r="O693" s="11"/>
    </row>
    <row r="694" customFormat="false" ht="14.25" hidden="false" customHeight="true" outlineLevel="0" collapsed="false">
      <c r="C694" s="11"/>
      <c r="K694" s="11"/>
      <c r="L694" s="11"/>
      <c r="O694" s="11"/>
    </row>
    <row r="695" customFormat="false" ht="14.25" hidden="false" customHeight="true" outlineLevel="0" collapsed="false">
      <c r="C695" s="11"/>
      <c r="K695" s="11"/>
      <c r="L695" s="11"/>
      <c r="O695" s="11"/>
    </row>
    <row r="696" customFormat="false" ht="14.25" hidden="false" customHeight="true" outlineLevel="0" collapsed="false">
      <c r="C696" s="11"/>
      <c r="K696" s="11"/>
      <c r="L696" s="11"/>
      <c r="O696" s="11"/>
    </row>
    <row r="697" customFormat="false" ht="14.25" hidden="false" customHeight="true" outlineLevel="0" collapsed="false">
      <c r="C697" s="11"/>
      <c r="K697" s="11"/>
      <c r="L697" s="11"/>
      <c r="O697" s="11"/>
    </row>
    <row r="698" customFormat="false" ht="14.25" hidden="false" customHeight="true" outlineLevel="0" collapsed="false">
      <c r="C698" s="11"/>
      <c r="K698" s="11"/>
      <c r="L698" s="11"/>
      <c r="O698" s="11"/>
    </row>
    <row r="699" customFormat="false" ht="14.25" hidden="false" customHeight="true" outlineLevel="0" collapsed="false">
      <c r="C699" s="11"/>
      <c r="K699" s="11"/>
      <c r="L699" s="11"/>
      <c r="O699" s="11"/>
    </row>
    <row r="700" customFormat="false" ht="14.25" hidden="false" customHeight="true" outlineLevel="0" collapsed="false">
      <c r="C700" s="11"/>
      <c r="K700" s="11"/>
      <c r="L700" s="11"/>
      <c r="O700" s="11"/>
    </row>
    <row r="701" customFormat="false" ht="14.25" hidden="false" customHeight="true" outlineLevel="0" collapsed="false">
      <c r="C701" s="11"/>
      <c r="K701" s="11"/>
      <c r="L701" s="11"/>
      <c r="O701" s="11"/>
    </row>
    <row r="702" customFormat="false" ht="14.25" hidden="false" customHeight="true" outlineLevel="0" collapsed="false">
      <c r="C702" s="11"/>
      <c r="K702" s="11"/>
      <c r="L702" s="11"/>
      <c r="O702" s="11"/>
    </row>
    <row r="703" customFormat="false" ht="14.25" hidden="false" customHeight="true" outlineLevel="0" collapsed="false">
      <c r="C703" s="11"/>
      <c r="K703" s="11"/>
      <c r="L703" s="11"/>
      <c r="O703" s="11"/>
    </row>
    <row r="704" customFormat="false" ht="14.25" hidden="false" customHeight="true" outlineLevel="0" collapsed="false">
      <c r="C704" s="11"/>
      <c r="K704" s="11"/>
      <c r="L704" s="11"/>
      <c r="O704" s="11"/>
    </row>
    <row r="705" customFormat="false" ht="14.25" hidden="false" customHeight="true" outlineLevel="0" collapsed="false">
      <c r="C705" s="11"/>
      <c r="K705" s="11"/>
      <c r="L705" s="11"/>
      <c r="O705" s="11"/>
    </row>
    <row r="706" customFormat="false" ht="14.25" hidden="false" customHeight="true" outlineLevel="0" collapsed="false">
      <c r="C706" s="11"/>
      <c r="K706" s="11"/>
      <c r="L706" s="11"/>
      <c r="O706" s="11"/>
    </row>
    <row r="707" customFormat="false" ht="14.25" hidden="false" customHeight="true" outlineLevel="0" collapsed="false">
      <c r="C707" s="11"/>
      <c r="K707" s="11"/>
      <c r="L707" s="11"/>
      <c r="O707" s="11"/>
    </row>
    <row r="708" customFormat="false" ht="14.25" hidden="false" customHeight="true" outlineLevel="0" collapsed="false">
      <c r="C708" s="11"/>
      <c r="K708" s="11"/>
      <c r="L708" s="11"/>
      <c r="O708" s="11"/>
    </row>
    <row r="709" customFormat="false" ht="14.25" hidden="false" customHeight="true" outlineLevel="0" collapsed="false">
      <c r="C709" s="11"/>
      <c r="K709" s="11"/>
      <c r="L709" s="11"/>
      <c r="O709" s="11"/>
    </row>
    <row r="710" customFormat="false" ht="14.25" hidden="false" customHeight="true" outlineLevel="0" collapsed="false">
      <c r="C710" s="11"/>
      <c r="K710" s="11"/>
      <c r="L710" s="11"/>
      <c r="O710" s="11"/>
    </row>
    <row r="711" customFormat="false" ht="14.25" hidden="false" customHeight="true" outlineLevel="0" collapsed="false">
      <c r="C711" s="11"/>
      <c r="K711" s="11"/>
      <c r="L711" s="11"/>
      <c r="O711" s="11"/>
    </row>
    <row r="712" customFormat="false" ht="14.25" hidden="false" customHeight="true" outlineLevel="0" collapsed="false">
      <c r="C712" s="11"/>
      <c r="K712" s="11"/>
      <c r="L712" s="11"/>
      <c r="O712" s="11"/>
    </row>
    <row r="713" customFormat="false" ht="14.25" hidden="false" customHeight="true" outlineLevel="0" collapsed="false">
      <c r="C713" s="11"/>
      <c r="K713" s="11"/>
      <c r="L713" s="11"/>
      <c r="O713" s="11"/>
    </row>
    <row r="714" customFormat="false" ht="14.25" hidden="false" customHeight="true" outlineLevel="0" collapsed="false">
      <c r="C714" s="11"/>
      <c r="K714" s="11"/>
      <c r="L714" s="11"/>
      <c r="O714" s="11"/>
    </row>
    <row r="715" customFormat="false" ht="14.25" hidden="false" customHeight="true" outlineLevel="0" collapsed="false">
      <c r="C715" s="11"/>
      <c r="K715" s="11"/>
      <c r="L715" s="11"/>
      <c r="O715" s="11"/>
    </row>
    <row r="716" customFormat="false" ht="14.25" hidden="false" customHeight="true" outlineLevel="0" collapsed="false">
      <c r="C716" s="11"/>
      <c r="K716" s="11"/>
      <c r="L716" s="11"/>
      <c r="O716" s="11"/>
    </row>
    <row r="717" customFormat="false" ht="14.25" hidden="false" customHeight="true" outlineLevel="0" collapsed="false">
      <c r="C717" s="11"/>
      <c r="K717" s="11"/>
      <c r="L717" s="11"/>
      <c r="O717" s="11"/>
    </row>
    <row r="718" customFormat="false" ht="14.25" hidden="false" customHeight="true" outlineLevel="0" collapsed="false">
      <c r="C718" s="11"/>
      <c r="K718" s="11"/>
      <c r="L718" s="11"/>
      <c r="O718" s="11"/>
    </row>
    <row r="719" customFormat="false" ht="14.25" hidden="false" customHeight="true" outlineLevel="0" collapsed="false">
      <c r="C719" s="11"/>
      <c r="K719" s="11"/>
      <c r="L719" s="11"/>
      <c r="O719" s="11"/>
    </row>
    <row r="720" customFormat="false" ht="14.25" hidden="false" customHeight="true" outlineLevel="0" collapsed="false">
      <c r="C720" s="11"/>
      <c r="K720" s="11"/>
      <c r="L720" s="11"/>
      <c r="O720" s="11"/>
    </row>
    <row r="721" customFormat="false" ht="14.25" hidden="false" customHeight="true" outlineLevel="0" collapsed="false">
      <c r="C721" s="11"/>
      <c r="K721" s="11"/>
      <c r="L721" s="11"/>
      <c r="O721" s="11"/>
    </row>
    <row r="722" customFormat="false" ht="14.25" hidden="false" customHeight="true" outlineLevel="0" collapsed="false">
      <c r="C722" s="11"/>
      <c r="K722" s="11"/>
      <c r="L722" s="11"/>
      <c r="O722" s="11"/>
    </row>
    <row r="723" customFormat="false" ht="14.25" hidden="false" customHeight="true" outlineLevel="0" collapsed="false">
      <c r="C723" s="11"/>
      <c r="K723" s="11"/>
      <c r="L723" s="11"/>
      <c r="O723" s="11"/>
    </row>
    <row r="724" customFormat="false" ht="14.25" hidden="false" customHeight="true" outlineLevel="0" collapsed="false">
      <c r="C724" s="11"/>
      <c r="K724" s="11"/>
      <c r="L724" s="11"/>
      <c r="O724" s="11"/>
    </row>
    <row r="725" customFormat="false" ht="14.25" hidden="false" customHeight="true" outlineLevel="0" collapsed="false">
      <c r="C725" s="11"/>
      <c r="K725" s="11"/>
      <c r="L725" s="11"/>
      <c r="O725" s="11"/>
    </row>
    <row r="726" customFormat="false" ht="14.25" hidden="false" customHeight="true" outlineLevel="0" collapsed="false">
      <c r="C726" s="11"/>
      <c r="K726" s="11"/>
      <c r="L726" s="11"/>
      <c r="O726" s="11"/>
    </row>
    <row r="727" customFormat="false" ht="14.25" hidden="false" customHeight="true" outlineLevel="0" collapsed="false">
      <c r="C727" s="11"/>
      <c r="K727" s="11"/>
      <c r="L727" s="11"/>
      <c r="O727" s="11"/>
    </row>
    <row r="728" customFormat="false" ht="14.25" hidden="false" customHeight="true" outlineLevel="0" collapsed="false">
      <c r="C728" s="11"/>
      <c r="K728" s="11"/>
      <c r="L728" s="11"/>
      <c r="O728" s="11"/>
    </row>
    <row r="729" customFormat="false" ht="14.25" hidden="false" customHeight="true" outlineLevel="0" collapsed="false">
      <c r="C729" s="11"/>
      <c r="K729" s="11"/>
      <c r="L729" s="11"/>
      <c r="O729" s="11"/>
    </row>
    <row r="730" customFormat="false" ht="14.25" hidden="false" customHeight="true" outlineLevel="0" collapsed="false">
      <c r="C730" s="11"/>
      <c r="K730" s="11"/>
      <c r="L730" s="11"/>
      <c r="O730" s="11"/>
    </row>
    <row r="731" customFormat="false" ht="14.25" hidden="false" customHeight="true" outlineLevel="0" collapsed="false">
      <c r="C731" s="11"/>
      <c r="K731" s="11"/>
      <c r="L731" s="11"/>
      <c r="O731" s="11"/>
    </row>
    <row r="732" customFormat="false" ht="14.25" hidden="false" customHeight="true" outlineLevel="0" collapsed="false">
      <c r="C732" s="11"/>
      <c r="K732" s="11"/>
      <c r="L732" s="11"/>
      <c r="O732" s="11"/>
    </row>
    <row r="733" customFormat="false" ht="14.25" hidden="false" customHeight="true" outlineLevel="0" collapsed="false">
      <c r="C733" s="11"/>
      <c r="K733" s="11"/>
      <c r="L733" s="11"/>
      <c r="O733" s="11"/>
    </row>
    <row r="734" customFormat="false" ht="14.25" hidden="false" customHeight="true" outlineLevel="0" collapsed="false">
      <c r="C734" s="11"/>
      <c r="K734" s="11"/>
      <c r="L734" s="11"/>
      <c r="O734" s="11"/>
    </row>
    <row r="735" customFormat="false" ht="14.25" hidden="false" customHeight="true" outlineLevel="0" collapsed="false">
      <c r="C735" s="11"/>
      <c r="K735" s="11"/>
      <c r="L735" s="11"/>
      <c r="O735" s="11"/>
    </row>
    <row r="736" customFormat="false" ht="14.25" hidden="false" customHeight="true" outlineLevel="0" collapsed="false">
      <c r="C736" s="11"/>
      <c r="K736" s="11"/>
      <c r="L736" s="11"/>
      <c r="O736" s="11"/>
    </row>
    <row r="737" customFormat="false" ht="14.25" hidden="false" customHeight="true" outlineLevel="0" collapsed="false">
      <c r="C737" s="11"/>
      <c r="K737" s="11"/>
      <c r="L737" s="11"/>
      <c r="O737" s="11"/>
    </row>
    <row r="738" customFormat="false" ht="14.25" hidden="false" customHeight="true" outlineLevel="0" collapsed="false">
      <c r="C738" s="11"/>
      <c r="K738" s="11"/>
      <c r="L738" s="11"/>
      <c r="O738" s="11"/>
    </row>
    <row r="739" customFormat="false" ht="14.25" hidden="false" customHeight="true" outlineLevel="0" collapsed="false">
      <c r="C739" s="11"/>
      <c r="K739" s="11"/>
      <c r="L739" s="11"/>
      <c r="O739" s="11"/>
    </row>
    <row r="740" customFormat="false" ht="14.25" hidden="false" customHeight="true" outlineLevel="0" collapsed="false">
      <c r="C740" s="11"/>
      <c r="K740" s="11"/>
      <c r="L740" s="11"/>
      <c r="O740" s="11"/>
    </row>
    <row r="741" customFormat="false" ht="14.25" hidden="false" customHeight="true" outlineLevel="0" collapsed="false">
      <c r="C741" s="11"/>
      <c r="K741" s="11"/>
      <c r="L741" s="11"/>
      <c r="O741" s="11"/>
    </row>
    <row r="742" customFormat="false" ht="14.25" hidden="false" customHeight="true" outlineLevel="0" collapsed="false">
      <c r="C742" s="11"/>
      <c r="K742" s="11"/>
      <c r="L742" s="11"/>
      <c r="O742" s="11"/>
    </row>
    <row r="743" customFormat="false" ht="14.25" hidden="false" customHeight="true" outlineLevel="0" collapsed="false">
      <c r="C743" s="11"/>
      <c r="K743" s="11"/>
      <c r="L743" s="11"/>
      <c r="O743" s="11"/>
    </row>
    <row r="744" customFormat="false" ht="14.25" hidden="false" customHeight="true" outlineLevel="0" collapsed="false">
      <c r="C744" s="11"/>
      <c r="K744" s="11"/>
      <c r="L744" s="11"/>
      <c r="O744" s="11"/>
    </row>
    <row r="745" customFormat="false" ht="14.25" hidden="false" customHeight="true" outlineLevel="0" collapsed="false">
      <c r="C745" s="11"/>
      <c r="K745" s="11"/>
      <c r="L745" s="11"/>
      <c r="O745" s="11"/>
    </row>
    <row r="746" customFormat="false" ht="14.25" hidden="false" customHeight="true" outlineLevel="0" collapsed="false">
      <c r="C746" s="11"/>
      <c r="K746" s="11"/>
      <c r="L746" s="11"/>
      <c r="O746" s="11"/>
    </row>
    <row r="747" customFormat="false" ht="14.25" hidden="false" customHeight="true" outlineLevel="0" collapsed="false">
      <c r="C747" s="11"/>
      <c r="K747" s="11"/>
      <c r="L747" s="11"/>
      <c r="O747" s="11"/>
    </row>
    <row r="748" customFormat="false" ht="14.25" hidden="false" customHeight="true" outlineLevel="0" collapsed="false">
      <c r="C748" s="11"/>
      <c r="K748" s="11"/>
      <c r="L748" s="11"/>
      <c r="O748" s="11"/>
    </row>
    <row r="749" customFormat="false" ht="14.25" hidden="false" customHeight="true" outlineLevel="0" collapsed="false">
      <c r="C749" s="11"/>
      <c r="K749" s="11"/>
      <c r="L749" s="11"/>
      <c r="O749" s="11"/>
    </row>
    <row r="750" customFormat="false" ht="14.25" hidden="false" customHeight="true" outlineLevel="0" collapsed="false">
      <c r="C750" s="11"/>
      <c r="K750" s="11"/>
      <c r="L750" s="11"/>
      <c r="O750" s="11"/>
    </row>
    <row r="751" customFormat="false" ht="14.25" hidden="false" customHeight="true" outlineLevel="0" collapsed="false">
      <c r="C751" s="11"/>
      <c r="K751" s="11"/>
      <c r="L751" s="11"/>
      <c r="O751" s="11"/>
    </row>
    <row r="752" customFormat="false" ht="14.25" hidden="false" customHeight="true" outlineLevel="0" collapsed="false">
      <c r="C752" s="11"/>
      <c r="K752" s="11"/>
      <c r="L752" s="11"/>
      <c r="O752" s="11"/>
    </row>
    <row r="753" customFormat="false" ht="14.25" hidden="false" customHeight="true" outlineLevel="0" collapsed="false">
      <c r="C753" s="11"/>
      <c r="K753" s="11"/>
      <c r="L753" s="11"/>
      <c r="O753" s="11"/>
    </row>
    <row r="754" customFormat="false" ht="14.25" hidden="false" customHeight="true" outlineLevel="0" collapsed="false">
      <c r="C754" s="11"/>
      <c r="K754" s="11"/>
      <c r="L754" s="11"/>
      <c r="O754" s="11"/>
    </row>
    <row r="755" customFormat="false" ht="14.25" hidden="false" customHeight="true" outlineLevel="0" collapsed="false">
      <c r="C755" s="11"/>
      <c r="K755" s="11"/>
      <c r="L755" s="11"/>
      <c r="O755" s="11"/>
    </row>
    <row r="756" customFormat="false" ht="14.25" hidden="false" customHeight="true" outlineLevel="0" collapsed="false">
      <c r="C756" s="11"/>
      <c r="K756" s="11"/>
      <c r="L756" s="11"/>
      <c r="O756" s="11"/>
    </row>
    <row r="757" customFormat="false" ht="14.25" hidden="false" customHeight="true" outlineLevel="0" collapsed="false">
      <c r="C757" s="11"/>
      <c r="K757" s="11"/>
      <c r="L757" s="11"/>
      <c r="O757" s="11"/>
    </row>
    <row r="758" customFormat="false" ht="14.25" hidden="false" customHeight="true" outlineLevel="0" collapsed="false">
      <c r="C758" s="11"/>
      <c r="K758" s="11"/>
      <c r="L758" s="11"/>
      <c r="O758" s="11"/>
    </row>
    <row r="759" customFormat="false" ht="14.25" hidden="false" customHeight="true" outlineLevel="0" collapsed="false">
      <c r="C759" s="11"/>
      <c r="K759" s="11"/>
      <c r="L759" s="11"/>
      <c r="O759" s="11"/>
    </row>
    <row r="760" customFormat="false" ht="14.25" hidden="false" customHeight="true" outlineLevel="0" collapsed="false">
      <c r="C760" s="11"/>
      <c r="K760" s="11"/>
      <c r="L760" s="11"/>
      <c r="O760" s="11"/>
    </row>
    <row r="761" customFormat="false" ht="14.25" hidden="false" customHeight="true" outlineLevel="0" collapsed="false">
      <c r="C761" s="11"/>
      <c r="K761" s="11"/>
      <c r="L761" s="11"/>
      <c r="O761" s="11"/>
    </row>
    <row r="762" customFormat="false" ht="14.25" hidden="false" customHeight="true" outlineLevel="0" collapsed="false">
      <c r="C762" s="11"/>
      <c r="K762" s="11"/>
      <c r="L762" s="11"/>
      <c r="O762" s="11"/>
    </row>
    <row r="763" customFormat="false" ht="14.25" hidden="false" customHeight="true" outlineLevel="0" collapsed="false">
      <c r="C763" s="11"/>
      <c r="K763" s="11"/>
      <c r="L763" s="11"/>
      <c r="O763" s="11"/>
    </row>
    <row r="764" customFormat="false" ht="14.25" hidden="false" customHeight="true" outlineLevel="0" collapsed="false">
      <c r="C764" s="11"/>
      <c r="K764" s="11"/>
      <c r="L764" s="11"/>
      <c r="O764" s="11"/>
    </row>
    <row r="765" customFormat="false" ht="14.25" hidden="false" customHeight="true" outlineLevel="0" collapsed="false">
      <c r="C765" s="11"/>
      <c r="K765" s="11"/>
      <c r="L765" s="11"/>
      <c r="O765" s="11"/>
    </row>
    <row r="766" customFormat="false" ht="14.25" hidden="false" customHeight="true" outlineLevel="0" collapsed="false">
      <c r="C766" s="11"/>
      <c r="K766" s="11"/>
      <c r="L766" s="11"/>
      <c r="O766" s="11"/>
    </row>
    <row r="767" customFormat="false" ht="14.25" hidden="false" customHeight="true" outlineLevel="0" collapsed="false">
      <c r="C767" s="11"/>
      <c r="K767" s="11"/>
      <c r="L767" s="11"/>
      <c r="O767" s="11"/>
    </row>
    <row r="768" customFormat="false" ht="14.25" hidden="false" customHeight="true" outlineLevel="0" collapsed="false">
      <c r="C768" s="11"/>
      <c r="K768" s="11"/>
      <c r="L768" s="11"/>
      <c r="O768" s="11"/>
    </row>
    <row r="769" customFormat="false" ht="14.25" hidden="false" customHeight="true" outlineLevel="0" collapsed="false">
      <c r="C769" s="11"/>
      <c r="K769" s="11"/>
      <c r="L769" s="11"/>
      <c r="O769" s="11"/>
    </row>
    <row r="770" customFormat="false" ht="14.25" hidden="false" customHeight="true" outlineLevel="0" collapsed="false">
      <c r="C770" s="11"/>
      <c r="K770" s="11"/>
      <c r="L770" s="11"/>
      <c r="O770" s="11"/>
    </row>
    <row r="771" customFormat="false" ht="14.25" hidden="false" customHeight="true" outlineLevel="0" collapsed="false">
      <c r="C771" s="11"/>
      <c r="K771" s="11"/>
      <c r="L771" s="11"/>
      <c r="O771" s="11"/>
    </row>
    <row r="772" customFormat="false" ht="14.25" hidden="false" customHeight="true" outlineLevel="0" collapsed="false">
      <c r="C772" s="11"/>
      <c r="K772" s="11"/>
      <c r="L772" s="11"/>
      <c r="O772" s="11"/>
    </row>
    <row r="773" customFormat="false" ht="14.25" hidden="false" customHeight="true" outlineLevel="0" collapsed="false">
      <c r="C773" s="11"/>
      <c r="K773" s="11"/>
      <c r="L773" s="11"/>
      <c r="O773" s="11"/>
    </row>
    <row r="774" customFormat="false" ht="14.25" hidden="false" customHeight="true" outlineLevel="0" collapsed="false">
      <c r="C774" s="11"/>
      <c r="K774" s="11"/>
      <c r="L774" s="11"/>
      <c r="O774" s="11"/>
    </row>
    <row r="775" customFormat="false" ht="14.25" hidden="false" customHeight="true" outlineLevel="0" collapsed="false">
      <c r="C775" s="11"/>
      <c r="K775" s="11"/>
      <c r="L775" s="11"/>
      <c r="O775" s="11"/>
    </row>
    <row r="776" customFormat="false" ht="14.25" hidden="false" customHeight="true" outlineLevel="0" collapsed="false">
      <c r="C776" s="11"/>
      <c r="K776" s="11"/>
      <c r="L776" s="11"/>
      <c r="O776" s="11"/>
    </row>
    <row r="777" customFormat="false" ht="14.25" hidden="false" customHeight="true" outlineLevel="0" collapsed="false">
      <c r="C777" s="11"/>
      <c r="K777" s="11"/>
      <c r="L777" s="11"/>
      <c r="O777" s="11"/>
    </row>
    <row r="778" customFormat="false" ht="14.25" hidden="false" customHeight="true" outlineLevel="0" collapsed="false">
      <c r="C778" s="11"/>
      <c r="K778" s="11"/>
      <c r="L778" s="11"/>
      <c r="O778" s="11"/>
    </row>
    <row r="779" customFormat="false" ht="14.25" hidden="false" customHeight="true" outlineLevel="0" collapsed="false">
      <c r="C779" s="11"/>
      <c r="K779" s="11"/>
      <c r="L779" s="11"/>
      <c r="O779" s="11"/>
    </row>
    <row r="780" customFormat="false" ht="14.25" hidden="false" customHeight="true" outlineLevel="0" collapsed="false">
      <c r="C780" s="11"/>
      <c r="K780" s="11"/>
      <c r="L780" s="11"/>
      <c r="O780" s="11"/>
    </row>
    <row r="781" customFormat="false" ht="14.25" hidden="false" customHeight="true" outlineLevel="0" collapsed="false">
      <c r="C781" s="11"/>
      <c r="K781" s="11"/>
      <c r="L781" s="11"/>
      <c r="O781" s="11"/>
    </row>
    <row r="782" customFormat="false" ht="14.25" hidden="false" customHeight="true" outlineLevel="0" collapsed="false">
      <c r="C782" s="11"/>
      <c r="K782" s="11"/>
      <c r="L782" s="11"/>
      <c r="O782" s="11"/>
    </row>
    <row r="783" customFormat="false" ht="14.25" hidden="false" customHeight="true" outlineLevel="0" collapsed="false">
      <c r="C783" s="11"/>
      <c r="K783" s="11"/>
      <c r="L783" s="11"/>
      <c r="O783" s="11"/>
    </row>
    <row r="784" customFormat="false" ht="14.25" hidden="false" customHeight="true" outlineLevel="0" collapsed="false">
      <c r="C784" s="11"/>
      <c r="K784" s="11"/>
      <c r="L784" s="11"/>
      <c r="O784" s="11"/>
    </row>
    <row r="785" customFormat="false" ht="14.25" hidden="false" customHeight="true" outlineLevel="0" collapsed="false">
      <c r="C785" s="11"/>
      <c r="K785" s="11"/>
      <c r="L785" s="11"/>
      <c r="O785" s="11"/>
    </row>
    <row r="786" customFormat="false" ht="14.25" hidden="false" customHeight="true" outlineLevel="0" collapsed="false">
      <c r="C786" s="11"/>
      <c r="K786" s="11"/>
      <c r="L786" s="11"/>
      <c r="O786" s="11"/>
    </row>
    <row r="787" customFormat="false" ht="14.25" hidden="false" customHeight="true" outlineLevel="0" collapsed="false">
      <c r="C787" s="11"/>
      <c r="K787" s="11"/>
      <c r="L787" s="11"/>
      <c r="O787" s="11"/>
    </row>
    <row r="788" customFormat="false" ht="14.25" hidden="false" customHeight="true" outlineLevel="0" collapsed="false">
      <c r="C788" s="11"/>
      <c r="K788" s="11"/>
      <c r="L788" s="11"/>
      <c r="O788" s="11"/>
    </row>
    <row r="789" customFormat="false" ht="14.25" hidden="false" customHeight="true" outlineLevel="0" collapsed="false">
      <c r="C789" s="11"/>
      <c r="K789" s="11"/>
      <c r="L789" s="11"/>
      <c r="O789" s="11"/>
    </row>
    <row r="790" customFormat="false" ht="14.25" hidden="false" customHeight="true" outlineLevel="0" collapsed="false">
      <c r="C790" s="11"/>
      <c r="K790" s="11"/>
      <c r="L790" s="11"/>
      <c r="O790" s="11"/>
    </row>
    <row r="791" customFormat="false" ht="14.25" hidden="false" customHeight="true" outlineLevel="0" collapsed="false">
      <c r="C791" s="11"/>
      <c r="K791" s="11"/>
      <c r="L791" s="11"/>
      <c r="O791" s="11"/>
    </row>
    <row r="792" customFormat="false" ht="14.25" hidden="false" customHeight="true" outlineLevel="0" collapsed="false">
      <c r="C792" s="11"/>
      <c r="K792" s="11"/>
      <c r="L792" s="11"/>
      <c r="O792" s="11"/>
    </row>
    <row r="793" customFormat="false" ht="14.25" hidden="false" customHeight="true" outlineLevel="0" collapsed="false">
      <c r="C793" s="11"/>
      <c r="K793" s="11"/>
      <c r="L793" s="11"/>
      <c r="O793" s="11"/>
    </row>
    <row r="794" customFormat="false" ht="14.25" hidden="false" customHeight="true" outlineLevel="0" collapsed="false">
      <c r="C794" s="11"/>
      <c r="K794" s="11"/>
      <c r="L794" s="11"/>
      <c r="O794" s="11"/>
    </row>
    <row r="795" customFormat="false" ht="14.25" hidden="false" customHeight="true" outlineLevel="0" collapsed="false">
      <c r="C795" s="11"/>
      <c r="K795" s="11"/>
      <c r="L795" s="11"/>
      <c r="O795" s="11"/>
    </row>
    <row r="796" customFormat="false" ht="14.25" hidden="false" customHeight="true" outlineLevel="0" collapsed="false">
      <c r="C796" s="11"/>
      <c r="K796" s="11"/>
      <c r="L796" s="11"/>
      <c r="O796" s="11"/>
    </row>
    <row r="797" customFormat="false" ht="14.25" hidden="false" customHeight="true" outlineLevel="0" collapsed="false">
      <c r="C797" s="11"/>
      <c r="K797" s="11"/>
      <c r="L797" s="11"/>
      <c r="O797" s="11"/>
    </row>
    <row r="798" customFormat="false" ht="14.25" hidden="false" customHeight="true" outlineLevel="0" collapsed="false">
      <c r="C798" s="11"/>
      <c r="K798" s="11"/>
      <c r="L798" s="11"/>
      <c r="O798" s="11"/>
    </row>
    <row r="799" customFormat="false" ht="14.25" hidden="false" customHeight="true" outlineLevel="0" collapsed="false">
      <c r="C799" s="11"/>
      <c r="K799" s="11"/>
      <c r="L799" s="11"/>
      <c r="O799" s="11"/>
    </row>
    <row r="800" customFormat="false" ht="14.25" hidden="false" customHeight="true" outlineLevel="0" collapsed="false">
      <c r="C800" s="11"/>
      <c r="K800" s="11"/>
      <c r="L800" s="11"/>
      <c r="O800" s="11"/>
    </row>
    <row r="801" customFormat="false" ht="14.25" hidden="false" customHeight="true" outlineLevel="0" collapsed="false">
      <c r="C801" s="11"/>
      <c r="K801" s="11"/>
      <c r="L801" s="11"/>
      <c r="O801" s="11"/>
    </row>
    <row r="802" customFormat="false" ht="14.25" hidden="false" customHeight="true" outlineLevel="0" collapsed="false">
      <c r="C802" s="11"/>
      <c r="K802" s="11"/>
      <c r="L802" s="11"/>
      <c r="O802" s="11"/>
    </row>
    <row r="803" customFormat="false" ht="14.25" hidden="false" customHeight="true" outlineLevel="0" collapsed="false">
      <c r="C803" s="11"/>
      <c r="K803" s="11"/>
      <c r="L803" s="11"/>
      <c r="O803" s="11"/>
    </row>
    <row r="804" customFormat="false" ht="14.25" hidden="false" customHeight="true" outlineLevel="0" collapsed="false">
      <c r="C804" s="11"/>
      <c r="K804" s="11"/>
      <c r="L804" s="11"/>
      <c r="O804" s="11"/>
    </row>
    <row r="805" customFormat="false" ht="14.25" hidden="false" customHeight="true" outlineLevel="0" collapsed="false">
      <c r="C805" s="11"/>
      <c r="K805" s="11"/>
      <c r="L805" s="11"/>
      <c r="O805" s="11"/>
    </row>
    <row r="806" customFormat="false" ht="14.25" hidden="false" customHeight="true" outlineLevel="0" collapsed="false">
      <c r="C806" s="11"/>
      <c r="K806" s="11"/>
      <c r="L806" s="11"/>
      <c r="O806" s="11"/>
    </row>
    <row r="807" customFormat="false" ht="14.25" hidden="false" customHeight="true" outlineLevel="0" collapsed="false">
      <c r="C807" s="11"/>
      <c r="K807" s="11"/>
      <c r="L807" s="11"/>
      <c r="O807" s="11"/>
    </row>
    <row r="808" customFormat="false" ht="14.25" hidden="false" customHeight="true" outlineLevel="0" collapsed="false">
      <c r="C808" s="11"/>
      <c r="K808" s="11"/>
      <c r="L808" s="11"/>
      <c r="O808" s="11"/>
    </row>
    <row r="809" customFormat="false" ht="14.25" hidden="false" customHeight="true" outlineLevel="0" collapsed="false">
      <c r="C809" s="11"/>
      <c r="K809" s="11"/>
      <c r="L809" s="11"/>
      <c r="O809" s="11"/>
    </row>
    <row r="810" customFormat="false" ht="14.25" hidden="false" customHeight="true" outlineLevel="0" collapsed="false">
      <c r="C810" s="11"/>
      <c r="K810" s="11"/>
      <c r="L810" s="11"/>
      <c r="O810" s="11"/>
    </row>
    <row r="811" customFormat="false" ht="14.25" hidden="false" customHeight="true" outlineLevel="0" collapsed="false">
      <c r="C811" s="11"/>
      <c r="K811" s="11"/>
      <c r="L811" s="11"/>
      <c r="O811" s="11"/>
    </row>
    <row r="812" customFormat="false" ht="14.25" hidden="false" customHeight="true" outlineLevel="0" collapsed="false">
      <c r="C812" s="11"/>
      <c r="K812" s="11"/>
      <c r="L812" s="11"/>
      <c r="O812" s="11"/>
    </row>
    <row r="813" customFormat="false" ht="14.25" hidden="false" customHeight="true" outlineLevel="0" collapsed="false">
      <c r="C813" s="11"/>
      <c r="K813" s="11"/>
      <c r="L813" s="11"/>
      <c r="O813" s="11"/>
    </row>
    <row r="814" customFormat="false" ht="14.25" hidden="false" customHeight="true" outlineLevel="0" collapsed="false">
      <c r="C814" s="11"/>
      <c r="K814" s="11"/>
      <c r="L814" s="11"/>
      <c r="O814" s="11"/>
    </row>
    <row r="815" customFormat="false" ht="14.25" hidden="false" customHeight="true" outlineLevel="0" collapsed="false">
      <c r="C815" s="11"/>
      <c r="K815" s="11"/>
      <c r="L815" s="11"/>
      <c r="O815" s="11"/>
    </row>
    <row r="816" customFormat="false" ht="14.25" hidden="false" customHeight="true" outlineLevel="0" collapsed="false">
      <c r="C816" s="11"/>
      <c r="K816" s="11"/>
      <c r="L816" s="11"/>
      <c r="O816" s="11"/>
    </row>
    <row r="817" customFormat="false" ht="14.25" hidden="false" customHeight="true" outlineLevel="0" collapsed="false">
      <c r="C817" s="11"/>
      <c r="K817" s="11"/>
      <c r="L817" s="11"/>
      <c r="O817" s="11"/>
    </row>
    <row r="818" customFormat="false" ht="14.25" hidden="false" customHeight="true" outlineLevel="0" collapsed="false">
      <c r="C818" s="11"/>
      <c r="K818" s="11"/>
      <c r="L818" s="11"/>
      <c r="O818" s="11"/>
    </row>
    <row r="819" customFormat="false" ht="14.25" hidden="false" customHeight="true" outlineLevel="0" collapsed="false">
      <c r="C819" s="11"/>
      <c r="K819" s="11"/>
      <c r="L819" s="11"/>
      <c r="O819" s="11"/>
    </row>
    <row r="820" customFormat="false" ht="14.25" hidden="false" customHeight="true" outlineLevel="0" collapsed="false">
      <c r="C820" s="11"/>
      <c r="K820" s="11"/>
      <c r="L820" s="11"/>
      <c r="O820" s="11"/>
    </row>
    <row r="821" customFormat="false" ht="14.25" hidden="false" customHeight="true" outlineLevel="0" collapsed="false">
      <c r="C821" s="11"/>
      <c r="K821" s="11"/>
      <c r="L821" s="11"/>
      <c r="O821" s="11"/>
    </row>
    <row r="822" customFormat="false" ht="14.25" hidden="false" customHeight="true" outlineLevel="0" collapsed="false">
      <c r="C822" s="11"/>
      <c r="K822" s="11"/>
      <c r="L822" s="11"/>
      <c r="O822" s="11"/>
    </row>
    <row r="823" customFormat="false" ht="14.25" hidden="false" customHeight="true" outlineLevel="0" collapsed="false">
      <c r="C823" s="11"/>
      <c r="K823" s="11"/>
      <c r="L823" s="11"/>
      <c r="O823" s="11"/>
    </row>
    <row r="824" customFormat="false" ht="14.25" hidden="false" customHeight="true" outlineLevel="0" collapsed="false">
      <c r="C824" s="11"/>
      <c r="K824" s="11"/>
      <c r="L824" s="11"/>
      <c r="O824" s="11"/>
    </row>
    <row r="825" customFormat="false" ht="14.25" hidden="false" customHeight="true" outlineLevel="0" collapsed="false">
      <c r="C825" s="11"/>
      <c r="K825" s="11"/>
      <c r="L825" s="11"/>
      <c r="O825" s="11"/>
    </row>
    <row r="826" customFormat="false" ht="14.25" hidden="false" customHeight="true" outlineLevel="0" collapsed="false">
      <c r="C826" s="11"/>
      <c r="K826" s="11"/>
      <c r="L826" s="11"/>
      <c r="O826" s="11"/>
    </row>
    <row r="827" customFormat="false" ht="14.25" hidden="false" customHeight="true" outlineLevel="0" collapsed="false">
      <c r="C827" s="11"/>
      <c r="K827" s="11"/>
      <c r="L827" s="11"/>
      <c r="O827" s="11"/>
    </row>
    <row r="828" customFormat="false" ht="14.25" hidden="false" customHeight="true" outlineLevel="0" collapsed="false">
      <c r="C828" s="11"/>
      <c r="K828" s="11"/>
      <c r="L828" s="11"/>
      <c r="O828" s="11"/>
    </row>
    <row r="829" customFormat="false" ht="14.25" hidden="false" customHeight="true" outlineLevel="0" collapsed="false">
      <c r="C829" s="11"/>
      <c r="K829" s="11"/>
      <c r="L829" s="11"/>
      <c r="O829" s="11"/>
    </row>
    <row r="830" customFormat="false" ht="14.25" hidden="false" customHeight="true" outlineLevel="0" collapsed="false">
      <c r="C830" s="11"/>
      <c r="K830" s="11"/>
      <c r="L830" s="11"/>
      <c r="O830" s="11"/>
    </row>
    <row r="831" customFormat="false" ht="14.25" hidden="false" customHeight="true" outlineLevel="0" collapsed="false">
      <c r="C831" s="11"/>
      <c r="K831" s="11"/>
      <c r="L831" s="11"/>
      <c r="O831" s="11"/>
    </row>
    <row r="832" customFormat="false" ht="14.25" hidden="false" customHeight="true" outlineLevel="0" collapsed="false">
      <c r="C832" s="11"/>
      <c r="K832" s="11"/>
      <c r="L832" s="11"/>
      <c r="O832" s="11"/>
    </row>
    <row r="833" customFormat="false" ht="14.25" hidden="false" customHeight="true" outlineLevel="0" collapsed="false">
      <c r="C833" s="11"/>
      <c r="K833" s="11"/>
      <c r="L833" s="11"/>
      <c r="O833" s="11"/>
    </row>
    <row r="834" customFormat="false" ht="14.25" hidden="false" customHeight="true" outlineLevel="0" collapsed="false">
      <c r="C834" s="11"/>
      <c r="K834" s="11"/>
      <c r="L834" s="11"/>
      <c r="O834" s="11"/>
    </row>
    <row r="835" customFormat="false" ht="14.25" hidden="false" customHeight="true" outlineLevel="0" collapsed="false">
      <c r="C835" s="11"/>
      <c r="K835" s="11"/>
      <c r="L835" s="11"/>
      <c r="O835" s="11"/>
    </row>
    <row r="836" customFormat="false" ht="14.25" hidden="false" customHeight="true" outlineLevel="0" collapsed="false">
      <c r="C836" s="11"/>
      <c r="K836" s="11"/>
      <c r="L836" s="11"/>
      <c r="O836" s="11"/>
    </row>
    <row r="837" customFormat="false" ht="14.25" hidden="false" customHeight="true" outlineLevel="0" collapsed="false">
      <c r="C837" s="11"/>
      <c r="K837" s="11"/>
      <c r="L837" s="11"/>
      <c r="O837" s="11"/>
    </row>
    <row r="838" customFormat="false" ht="14.25" hidden="false" customHeight="true" outlineLevel="0" collapsed="false">
      <c r="C838" s="11"/>
      <c r="K838" s="11"/>
      <c r="L838" s="11"/>
      <c r="O838" s="11"/>
    </row>
    <row r="839" customFormat="false" ht="14.25" hidden="false" customHeight="true" outlineLevel="0" collapsed="false">
      <c r="C839" s="11"/>
      <c r="K839" s="11"/>
      <c r="L839" s="11"/>
      <c r="O839" s="11"/>
    </row>
    <row r="840" customFormat="false" ht="14.25" hidden="false" customHeight="true" outlineLevel="0" collapsed="false">
      <c r="C840" s="11"/>
      <c r="K840" s="11"/>
      <c r="L840" s="11"/>
      <c r="O840" s="11"/>
    </row>
    <row r="841" customFormat="false" ht="14.25" hidden="false" customHeight="true" outlineLevel="0" collapsed="false">
      <c r="C841" s="11"/>
      <c r="K841" s="11"/>
      <c r="L841" s="11"/>
      <c r="O841" s="11"/>
    </row>
    <row r="842" customFormat="false" ht="14.25" hidden="false" customHeight="true" outlineLevel="0" collapsed="false">
      <c r="C842" s="11"/>
      <c r="K842" s="11"/>
      <c r="L842" s="11"/>
      <c r="O842" s="11"/>
    </row>
    <row r="843" customFormat="false" ht="14.25" hidden="false" customHeight="true" outlineLevel="0" collapsed="false">
      <c r="C843" s="11"/>
      <c r="K843" s="11"/>
      <c r="L843" s="11"/>
      <c r="O843" s="11"/>
    </row>
    <row r="844" customFormat="false" ht="14.25" hidden="false" customHeight="true" outlineLevel="0" collapsed="false">
      <c r="C844" s="11"/>
      <c r="K844" s="11"/>
      <c r="L844" s="11"/>
      <c r="O844" s="11"/>
    </row>
    <row r="845" customFormat="false" ht="14.25" hidden="false" customHeight="true" outlineLevel="0" collapsed="false">
      <c r="C845" s="11"/>
      <c r="K845" s="11"/>
      <c r="L845" s="11"/>
      <c r="O845" s="11"/>
    </row>
    <row r="846" customFormat="false" ht="14.25" hidden="false" customHeight="true" outlineLevel="0" collapsed="false">
      <c r="C846" s="11"/>
      <c r="K846" s="11"/>
      <c r="L846" s="11"/>
      <c r="O846" s="11"/>
    </row>
    <row r="847" customFormat="false" ht="14.25" hidden="false" customHeight="true" outlineLevel="0" collapsed="false">
      <c r="C847" s="11"/>
      <c r="K847" s="11"/>
      <c r="L847" s="11"/>
      <c r="O847" s="11"/>
    </row>
    <row r="848" customFormat="false" ht="14.25" hidden="false" customHeight="true" outlineLevel="0" collapsed="false">
      <c r="C848" s="11"/>
      <c r="K848" s="11"/>
      <c r="L848" s="11"/>
      <c r="O848" s="11"/>
    </row>
    <row r="849" customFormat="false" ht="14.25" hidden="false" customHeight="true" outlineLevel="0" collapsed="false">
      <c r="C849" s="11"/>
      <c r="K849" s="11"/>
      <c r="L849" s="11"/>
      <c r="O849" s="11"/>
    </row>
    <row r="850" customFormat="false" ht="14.25" hidden="false" customHeight="true" outlineLevel="0" collapsed="false">
      <c r="C850" s="11"/>
      <c r="K850" s="11"/>
      <c r="L850" s="11"/>
      <c r="O850" s="11"/>
    </row>
    <row r="851" customFormat="false" ht="14.25" hidden="false" customHeight="true" outlineLevel="0" collapsed="false">
      <c r="C851" s="11"/>
      <c r="K851" s="11"/>
      <c r="L851" s="11"/>
      <c r="O851" s="11"/>
    </row>
    <row r="852" customFormat="false" ht="14.25" hidden="false" customHeight="true" outlineLevel="0" collapsed="false">
      <c r="C852" s="11"/>
      <c r="K852" s="11"/>
      <c r="L852" s="11"/>
      <c r="O852" s="11"/>
    </row>
    <row r="853" customFormat="false" ht="14.25" hidden="false" customHeight="true" outlineLevel="0" collapsed="false">
      <c r="C853" s="11"/>
      <c r="K853" s="11"/>
      <c r="L853" s="11"/>
      <c r="O853" s="11"/>
    </row>
    <row r="854" customFormat="false" ht="14.25" hidden="false" customHeight="true" outlineLevel="0" collapsed="false">
      <c r="C854" s="11"/>
      <c r="K854" s="11"/>
      <c r="L854" s="11"/>
      <c r="O854" s="11"/>
    </row>
    <row r="855" customFormat="false" ht="14.25" hidden="false" customHeight="true" outlineLevel="0" collapsed="false">
      <c r="C855" s="11"/>
      <c r="K855" s="11"/>
      <c r="L855" s="11"/>
      <c r="O855" s="11"/>
    </row>
    <row r="856" customFormat="false" ht="14.25" hidden="false" customHeight="true" outlineLevel="0" collapsed="false">
      <c r="C856" s="11"/>
      <c r="K856" s="11"/>
      <c r="L856" s="11"/>
      <c r="O856" s="11"/>
    </row>
    <row r="857" customFormat="false" ht="14.25" hidden="false" customHeight="true" outlineLevel="0" collapsed="false">
      <c r="C857" s="11"/>
      <c r="K857" s="11"/>
      <c r="L857" s="11"/>
      <c r="O857" s="11"/>
    </row>
    <row r="858" customFormat="false" ht="14.25" hidden="false" customHeight="true" outlineLevel="0" collapsed="false">
      <c r="C858" s="11"/>
      <c r="K858" s="11"/>
      <c r="L858" s="11"/>
      <c r="O858" s="11"/>
    </row>
    <row r="859" customFormat="false" ht="14.25" hidden="false" customHeight="true" outlineLevel="0" collapsed="false">
      <c r="C859" s="11"/>
      <c r="K859" s="11"/>
      <c r="L859" s="11"/>
      <c r="O859" s="11"/>
    </row>
    <row r="860" customFormat="false" ht="14.25" hidden="false" customHeight="true" outlineLevel="0" collapsed="false">
      <c r="C860" s="11"/>
      <c r="K860" s="11"/>
      <c r="L860" s="11"/>
      <c r="O860" s="11"/>
    </row>
    <row r="861" customFormat="false" ht="14.25" hidden="false" customHeight="true" outlineLevel="0" collapsed="false">
      <c r="C861" s="11"/>
      <c r="K861" s="11"/>
      <c r="L861" s="11"/>
      <c r="O861" s="11"/>
    </row>
    <row r="862" customFormat="false" ht="14.25" hidden="false" customHeight="true" outlineLevel="0" collapsed="false">
      <c r="C862" s="11"/>
      <c r="K862" s="11"/>
      <c r="L862" s="11"/>
      <c r="O862" s="11"/>
    </row>
    <row r="863" customFormat="false" ht="14.25" hidden="false" customHeight="true" outlineLevel="0" collapsed="false">
      <c r="C863" s="11"/>
      <c r="K863" s="11"/>
      <c r="L863" s="11"/>
      <c r="O863" s="11"/>
    </row>
    <row r="864" customFormat="false" ht="14.25" hidden="false" customHeight="true" outlineLevel="0" collapsed="false">
      <c r="C864" s="11"/>
      <c r="K864" s="11"/>
      <c r="L864" s="11"/>
      <c r="O864" s="11"/>
    </row>
    <row r="865" customFormat="false" ht="14.25" hidden="false" customHeight="true" outlineLevel="0" collapsed="false">
      <c r="C865" s="11"/>
      <c r="K865" s="11"/>
      <c r="L865" s="11"/>
      <c r="O865" s="11"/>
    </row>
    <row r="866" customFormat="false" ht="14.25" hidden="false" customHeight="true" outlineLevel="0" collapsed="false">
      <c r="C866" s="11"/>
      <c r="K866" s="11"/>
      <c r="L866" s="11"/>
      <c r="O866" s="11"/>
    </row>
    <row r="867" customFormat="false" ht="14.25" hidden="false" customHeight="true" outlineLevel="0" collapsed="false">
      <c r="C867" s="11"/>
      <c r="K867" s="11"/>
      <c r="L867" s="11"/>
      <c r="O867" s="11"/>
    </row>
    <row r="868" customFormat="false" ht="14.25" hidden="false" customHeight="true" outlineLevel="0" collapsed="false">
      <c r="C868" s="11"/>
      <c r="K868" s="11"/>
      <c r="L868" s="11"/>
      <c r="O868" s="11"/>
    </row>
    <row r="869" customFormat="false" ht="14.25" hidden="false" customHeight="true" outlineLevel="0" collapsed="false">
      <c r="C869" s="11"/>
      <c r="K869" s="11"/>
      <c r="L869" s="11"/>
      <c r="O869" s="11"/>
    </row>
    <row r="870" customFormat="false" ht="14.25" hidden="false" customHeight="true" outlineLevel="0" collapsed="false">
      <c r="C870" s="11"/>
      <c r="K870" s="11"/>
      <c r="L870" s="11"/>
      <c r="O870" s="11"/>
    </row>
    <row r="871" customFormat="false" ht="14.25" hidden="false" customHeight="true" outlineLevel="0" collapsed="false">
      <c r="C871" s="11"/>
      <c r="K871" s="11"/>
      <c r="L871" s="11"/>
      <c r="O871" s="11"/>
    </row>
    <row r="872" customFormat="false" ht="14.25" hidden="false" customHeight="true" outlineLevel="0" collapsed="false">
      <c r="C872" s="11"/>
      <c r="K872" s="11"/>
      <c r="L872" s="11"/>
      <c r="O872" s="11"/>
    </row>
    <row r="873" customFormat="false" ht="14.25" hidden="false" customHeight="true" outlineLevel="0" collapsed="false">
      <c r="C873" s="11"/>
      <c r="K873" s="11"/>
      <c r="L873" s="11"/>
      <c r="O873" s="11"/>
    </row>
    <row r="874" customFormat="false" ht="14.25" hidden="false" customHeight="true" outlineLevel="0" collapsed="false">
      <c r="C874" s="11"/>
      <c r="K874" s="11"/>
      <c r="L874" s="11"/>
      <c r="O874" s="11"/>
    </row>
    <row r="875" customFormat="false" ht="14.25" hidden="false" customHeight="true" outlineLevel="0" collapsed="false">
      <c r="C875" s="11"/>
      <c r="K875" s="11"/>
      <c r="L875" s="11"/>
      <c r="O875" s="11"/>
    </row>
    <row r="876" customFormat="false" ht="14.25" hidden="false" customHeight="true" outlineLevel="0" collapsed="false">
      <c r="C876" s="11"/>
      <c r="K876" s="11"/>
      <c r="L876" s="11"/>
      <c r="O876" s="11"/>
    </row>
    <row r="877" customFormat="false" ht="14.25" hidden="false" customHeight="true" outlineLevel="0" collapsed="false">
      <c r="C877" s="11"/>
      <c r="K877" s="11"/>
      <c r="L877" s="11"/>
      <c r="O877" s="11"/>
    </row>
    <row r="878" customFormat="false" ht="14.25" hidden="false" customHeight="true" outlineLevel="0" collapsed="false">
      <c r="C878" s="11"/>
      <c r="K878" s="11"/>
      <c r="L878" s="11"/>
      <c r="O878" s="11"/>
    </row>
    <row r="879" customFormat="false" ht="14.25" hidden="false" customHeight="true" outlineLevel="0" collapsed="false">
      <c r="C879" s="11"/>
      <c r="K879" s="11"/>
      <c r="L879" s="11"/>
      <c r="O879" s="11"/>
    </row>
    <row r="880" customFormat="false" ht="14.25" hidden="false" customHeight="true" outlineLevel="0" collapsed="false">
      <c r="C880" s="11"/>
      <c r="K880" s="11"/>
      <c r="L880" s="11"/>
      <c r="O880" s="11"/>
    </row>
    <row r="881" customFormat="false" ht="14.25" hidden="false" customHeight="true" outlineLevel="0" collapsed="false">
      <c r="C881" s="11"/>
      <c r="K881" s="11"/>
      <c r="L881" s="11"/>
      <c r="O881" s="11"/>
    </row>
    <row r="882" customFormat="false" ht="14.25" hidden="false" customHeight="true" outlineLevel="0" collapsed="false">
      <c r="C882" s="11"/>
      <c r="K882" s="11"/>
      <c r="L882" s="11"/>
      <c r="O882" s="11"/>
    </row>
    <row r="883" customFormat="false" ht="14.25" hidden="false" customHeight="true" outlineLevel="0" collapsed="false">
      <c r="C883" s="11"/>
      <c r="K883" s="11"/>
      <c r="L883" s="11"/>
      <c r="O883" s="11"/>
    </row>
    <row r="884" customFormat="false" ht="14.25" hidden="false" customHeight="true" outlineLevel="0" collapsed="false">
      <c r="C884" s="11"/>
      <c r="K884" s="11"/>
      <c r="L884" s="11"/>
      <c r="O884" s="11"/>
    </row>
    <row r="885" customFormat="false" ht="14.25" hidden="false" customHeight="true" outlineLevel="0" collapsed="false">
      <c r="C885" s="11"/>
      <c r="K885" s="11"/>
      <c r="L885" s="11"/>
      <c r="O885" s="11"/>
    </row>
    <row r="886" customFormat="false" ht="14.25" hidden="false" customHeight="true" outlineLevel="0" collapsed="false">
      <c r="C886" s="11"/>
      <c r="K886" s="11"/>
      <c r="L886" s="11"/>
      <c r="O886" s="11"/>
    </row>
    <row r="887" customFormat="false" ht="14.25" hidden="false" customHeight="true" outlineLevel="0" collapsed="false">
      <c r="C887" s="11"/>
      <c r="K887" s="11"/>
      <c r="L887" s="11"/>
      <c r="O887" s="11"/>
    </row>
    <row r="888" customFormat="false" ht="14.25" hidden="false" customHeight="true" outlineLevel="0" collapsed="false">
      <c r="C888" s="11"/>
      <c r="K888" s="11"/>
      <c r="L888" s="11"/>
      <c r="O888" s="11"/>
    </row>
    <row r="889" customFormat="false" ht="14.25" hidden="false" customHeight="true" outlineLevel="0" collapsed="false">
      <c r="C889" s="11"/>
      <c r="K889" s="11"/>
      <c r="L889" s="11"/>
      <c r="O889" s="11"/>
    </row>
    <row r="890" customFormat="false" ht="14.25" hidden="false" customHeight="true" outlineLevel="0" collapsed="false">
      <c r="C890" s="11"/>
      <c r="K890" s="11"/>
      <c r="L890" s="11"/>
      <c r="O890" s="11"/>
    </row>
    <row r="891" customFormat="false" ht="14.25" hidden="false" customHeight="true" outlineLevel="0" collapsed="false">
      <c r="C891" s="11"/>
      <c r="K891" s="11"/>
      <c r="L891" s="11"/>
      <c r="O891" s="11"/>
    </row>
    <row r="892" customFormat="false" ht="14.25" hidden="false" customHeight="true" outlineLevel="0" collapsed="false">
      <c r="C892" s="11"/>
      <c r="K892" s="11"/>
      <c r="L892" s="11"/>
      <c r="O892" s="11"/>
    </row>
    <row r="893" customFormat="false" ht="14.25" hidden="false" customHeight="true" outlineLevel="0" collapsed="false">
      <c r="C893" s="11"/>
      <c r="K893" s="11"/>
      <c r="L893" s="11"/>
      <c r="O893" s="11"/>
    </row>
    <row r="894" customFormat="false" ht="14.25" hidden="false" customHeight="true" outlineLevel="0" collapsed="false">
      <c r="C894" s="11"/>
      <c r="K894" s="11"/>
      <c r="L894" s="11"/>
      <c r="O894" s="11"/>
    </row>
    <row r="895" customFormat="false" ht="14.25" hidden="false" customHeight="true" outlineLevel="0" collapsed="false">
      <c r="C895" s="11"/>
      <c r="K895" s="11"/>
      <c r="L895" s="11"/>
      <c r="O895" s="11"/>
    </row>
    <row r="896" customFormat="false" ht="14.25" hidden="false" customHeight="true" outlineLevel="0" collapsed="false">
      <c r="C896" s="11"/>
      <c r="K896" s="11"/>
      <c r="L896" s="11"/>
      <c r="O896" s="11"/>
    </row>
    <row r="897" customFormat="false" ht="14.25" hidden="false" customHeight="true" outlineLevel="0" collapsed="false">
      <c r="C897" s="11"/>
      <c r="K897" s="11"/>
      <c r="L897" s="11"/>
      <c r="O897" s="11"/>
    </row>
    <row r="898" customFormat="false" ht="14.25" hidden="false" customHeight="true" outlineLevel="0" collapsed="false">
      <c r="C898" s="11"/>
      <c r="K898" s="11"/>
      <c r="L898" s="11"/>
      <c r="O898" s="11"/>
    </row>
    <row r="899" customFormat="false" ht="14.25" hidden="false" customHeight="true" outlineLevel="0" collapsed="false">
      <c r="C899" s="11"/>
      <c r="K899" s="11"/>
      <c r="L899" s="11"/>
      <c r="O899" s="11"/>
    </row>
    <row r="900" customFormat="false" ht="14.25" hidden="false" customHeight="true" outlineLevel="0" collapsed="false">
      <c r="C900" s="11"/>
      <c r="K900" s="11"/>
      <c r="L900" s="11"/>
      <c r="O900" s="11"/>
    </row>
    <row r="901" customFormat="false" ht="14.25" hidden="false" customHeight="true" outlineLevel="0" collapsed="false">
      <c r="C901" s="11"/>
      <c r="K901" s="11"/>
      <c r="L901" s="11"/>
      <c r="O901" s="11"/>
    </row>
    <row r="902" customFormat="false" ht="14.25" hidden="false" customHeight="true" outlineLevel="0" collapsed="false">
      <c r="C902" s="11"/>
      <c r="K902" s="11"/>
      <c r="L902" s="11"/>
      <c r="O902" s="11"/>
    </row>
    <row r="903" customFormat="false" ht="14.25" hidden="false" customHeight="true" outlineLevel="0" collapsed="false">
      <c r="C903" s="11"/>
      <c r="K903" s="11"/>
      <c r="L903" s="11"/>
      <c r="O903" s="11"/>
    </row>
    <row r="904" customFormat="false" ht="14.25" hidden="false" customHeight="true" outlineLevel="0" collapsed="false">
      <c r="C904" s="11"/>
      <c r="K904" s="11"/>
      <c r="L904" s="11"/>
      <c r="O904" s="11"/>
    </row>
    <row r="905" customFormat="false" ht="14.25" hidden="false" customHeight="true" outlineLevel="0" collapsed="false">
      <c r="C905" s="11"/>
      <c r="K905" s="11"/>
      <c r="L905" s="11"/>
      <c r="O905" s="11"/>
    </row>
    <row r="906" customFormat="false" ht="14.25" hidden="false" customHeight="true" outlineLevel="0" collapsed="false">
      <c r="C906" s="11"/>
      <c r="K906" s="11"/>
      <c r="L906" s="11"/>
      <c r="O906" s="11"/>
    </row>
    <row r="907" customFormat="false" ht="14.25" hidden="false" customHeight="true" outlineLevel="0" collapsed="false">
      <c r="C907" s="11"/>
      <c r="K907" s="11"/>
      <c r="L907" s="11"/>
      <c r="O907" s="11"/>
    </row>
    <row r="908" customFormat="false" ht="14.25" hidden="false" customHeight="true" outlineLevel="0" collapsed="false">
      <c r="C908" s="11"/>
      <c r="K908" s="11"/>
      <c r="L908" s="11"/>
      <c r="O908" s="11"/>
    </row>
    <row r="909" customFormat="false" ht="14.25" hidden="false" customHeight="true" outlineLevel="0" collapsed="false">
      <c r="C909" s="11"/>
      <c r="K909" s="11"/>
      <c r="L909" s="11"/>
      <c r="O909" s="11"/>
    </row>
    <row r="910" customFormat="false" ht="14.25" hidden="false" customHeight="true" outlineLevel="0" collapsed="false">
      <c r="C910" s="11"/>
      <c r="K910" s="11"/>
      <c r="L910" s="11"/>
      <c r="O910" s="11"/>
    </row>
    <row r="911" customFormat="false" ht="14.25" hidden="false" customHeight="true" outlineLevel="0" collapsed="false">
      <c r="C911" s="11"/>
      <c r="K911" s="11"/>
      <c r="L911" s="11"/>
      <c r="O911" s="11"/>
    </row>
    <row r="912" customFormat="false" ht="14.25" hidden="false" customHeight="true" outlineLevel="0" collapsed="false">
      <c r="C912" s="11"/>
      <c r="K912" s="11"/>
      <c r="L912" s="11"/>
      <c r="O912" s="11"/>
    </row>
    <row r="913" customFormat="false" ht="14.25" hidden="false" customHeight="true" outlineLevel="0" collapsed="false">
      <c r="C913" s="11"/>
      <c r="K913" s="11"/>
      <c r="L913" s="11"/>
      <c r="O913" s="11"/>
    </row>
    <row r="914" customFormat="false" ht="14.25" hidden="false" customHeight="true" outlineLevel="0" collapsed="false">
      <c r="C914" s="11"/>
      <c r="K914" s="11"/>
      <c r="L914" s="11"/>
      <c r="O914" s="11"/>
    </row>
    <row r="915" customFormat="false" ht="14.25" hidden="false" customHeight="true" outlineLevel="0" collapsed="false">
      <c r="C915" s="11"/>
      <c r="K915" s="11"/>
      <c r="L915" s="11"/>
      <c r="O915" s="11"/>
    </row>
    <row r="916" customFormat="false" ht="14.25" hidden="false" customHeight="true" outlineLevel="0" collapsed="false">
      <c r="C916" s="11"/>
      <c r="K916" s="11"/>
      <c r="L916" s="11"/>
      <c r="O916" s="11"/>
    </row>
    <row r="917" customFormat="false" ht="14.25" hidden="false" customHeight="true" outlineLevel="0" collapsed="false">
      <c r="C917" s="11"/>
      <c r="K917" s="11"/>
      <c r="L917" s="11"/>
      <c r="O917" s="11"/>
    </row>
    <row r="918" customFormat="false" ht="14.25" hidden="false" customHeight="true" outlineLevel="0" collapsed="false">
      <c r="C918" s="11"/>
      <c r="K918" s="11"/>
      <c r="L918" s="11"/>
      <c r="O918" s="11"/>
    </row>
    <row r="919" customFormat="false" ht="14.25" hidden="false" customHeight="true" outlineLevel="0" collapsed="false">
      <c r="C919" s="11"/>
      <c r="K919" s="11"/>
      <c r="L919" s="11"/>
      <c r="O919" s="11"/>
    </row>
    <row r="920" customFormat="false" ht="14.25" hidden="false" customHeight="true" outlineLevel="0" collapsed="false">
      <c r="C920" s="11"/>
      <c r="K920" s="11"/>
      <c r="L920" s="11"/>
      <c r="O920" s="11"/>
    </row>
    <row r="921" customFormat="false" ht="14.25" hidden="false" customHeight="true" outlineLevel="0" collapsed="false">
      <c r="C921" s="11"/>
      <c r="K921" s="11"/>
      <c r="L921" s="11"/>
      <c r="O921" s="11"/>
    </row>
    <row r="922" customFormat="false" ht="14.25" hidden="false" customHeight="true" outlineLevel="0" collapsed="false">
      <c r="C922" s="11"/>
      <c r="K922" s="11"/>
      <c r="L922" s="11"/>
      <c r="O922" s="11"/>
    </row>
    <row r="923" customFormat="false" ht="14.25" hidden="false" customHeight="true" outlineLevel="0" collapsed="false">
      <c r="C923" s="11"/>
      <c r="K923" s="11"/>
      <c r="L923" s="11"/>
      <c r="O923" s="11"/>
    </row>
    <row r="924" customFormat="false" ht="14.25" hidden="false" customHeight="true" outlineLevel="0" collapsed="false">
      <c r="C924" s="11"/>
      <c r="K924" s="11"/>
      <c r="L924" s="11"/>
      <c r="O924" s="11"/>
    </row>
    <row r="925" customFormat="false" ht="14.25" hidden="false" customHeight="true" outlineLevel="0" collapsed="false">
      <c r="C925" s="11"/>
      <c r="K925" s="11"/>
      <c r="L925" s="11"/>
      <c r="O925" s="11"/>
    </row>
    <row r="926" customFormat="false" ht="14.25" hidden="false" customHeight="true" outlineLevel="0" collapsed="false">
      <c r="C926" s="11"/>
      <c r="K926" s="11"/>
      <c r="L926" s="11"/>
      <c r="O926" s="11"/>
    </row>
    <row r="927" customFormat="false" ht="14.25" hidden="false" customHeight="true" outlineLevel="0" collapsed="false">
      <c r="C927" s="11"/>
      <c r="K927" s="11"/>
      <c r="L927" s="11"/>
      <c r="O927" s="11"/>
    </row>
    <row r="928" customFormat="false" ht="14.25" hidden="false" customHeight="true" outlineLevel="0" collapsed="false">
      <c r="C928" s="11"/>
      <c r="K928" s="11"/>
      <c r="L928" s="11"/>
      <c r="O928" s="11"/>
    </row>
    <row r="929" customFormat="false" ht="14.25" hidden="false" customHeight="true" outlineLevel="0" collapsed="false">
      <c r="C929" s="11"/>
      <c r="K929" s="11"/>
      <c r="L929" s="11"/>
      <c r="O929" s="11"/>
    </row>
    <row r="930" customFormat="false" ht="14.25" hidden="false" customHeight="true" outlineLevel="0" collapsed="false">
      <c r="C930" s="11"/>
      <c r="K930" s="11"/>
      <c r="L930" s="11"/>
      <c r="O930" s="11"/>
    </row>
    <row r="931" customFormat="false" ht="14.25" hidden="false" customHeight="true" outlineLevel="0" collapsed="false">
      <c r="C931" s="11"/>
      <c r="K931" s="11"/>
      <c r="L931" s="11"/>
      <c r="O931" s="11"/>
    </row>
    <row r="932" customFormat="false" ht="14.25" hidden="false" customHeight="true" outlineLevel="0" collapsed="false">
      <c r="C932" s="11"/>
      <c r="K932" s="11"/>
      <c r="L932" s="11"/>
      <c r="O932" s="11"/>
    </row>
    <row r="933" customFormat="false" ht="14.25" hidden="false" customHeight="true" outlineLevel="0" collapsed="false">
      <c r="C933" s="11"/>
      <c r="K933" s="11"/>
      <c r="L933" s="11"/>
      <c r="O933" s="11"/>
    </row>
    <row r="934" customFormat="false" ht="14.25" hidden="false" customHeight="true" outlineLevel="0" collapsed="false">
      <c r="C934" s="11"/>
      <c r="K934" s="11"/>
      <c r="L934" s="11"/>
      <c r="O934" s="11"/>
    </row>
    <row r="935" customFormat="false" ht="14.25" hidden="false" customHeight="true" outlineLevel="0" collapsed="false">
      <c r="C935" s="11"/>
      <c r="K935" s="11"/>
      <c r="L935" s="11"/>
      <c r="O935" s="11"/>
    </row>
    <row r="936" customFormat="false" ht="14.25" hidden="false" customHeight="true" outlineLevel="0" collapsed="false">
      <c r="C936" s="11"/>
      <c r="K936" s="11"/>
      <c r="L936" s="11"/>
      <c r="O936" s="11"/>
    </row>
    <row r="937" customFormat="false" ht="14.25" hidden="false" customHeight="true" outlineLevel="0" collapsed="false">
      <c r="C937" s="11"/>
      <c r="K937" s="11"/>
      <c r="L937" s="11"/>
      <c r="O937" s="11"/>
    </row>
    <row r="938" customFormat="false" ht="14.25" hidden="false" customHeight="true" outlineLevel="0" collapsed="false">
      <c r="C938" s="11"/>
      <c r="K938" s="11"/>
      <c r="L938" s="11"/>
      <c r="O938" s="11"/>
    </row>
    <row r="939" customFormat="false" ht="14.25" hidden="false" customHeight="true" outlineLevel="0" collapsed="false">
      <c r="C939" s="11"/>
      <c r="K939" s="11"/>
      <c r="L939" s="11"/>
      <c r="O939" s="11"/>
    </row>
    <row r="940" customFormat="false" ht="14.25" hidden="false" customHeight="true" outlineLevel="0" collapsed="false">
      <c r="C940" s="11"/>
      <c r="K940" s="11"/>
      <c r="L940" s="11"/>
      <c r="O940" s="11"/>
    </row>
    <row r="941" customFormat="false" ht="14.25" hidden="false" customHeight="true" outlineLevel="0" collapsed="false">
      <c r="C941" s="11"/>
      <c r="K941" s="11"/>
      <c r="L941" s="11"/>
      <c r="O941" s="11"/>
    </row>
    <row r="942" customFormat="false" ht="14.25" hidden="false" customHeight="true" outlineLevel="0" collapsed="false">
      <c r="C942" s="11"/>
      <c r="K942" s="11"/>
      <c r="L942" s="11"/>
      <c r="O942" s="11"/>
    </row>
    <row r="943" customFormat="false" ht="14.25" hidden="false" customHeight="true" outlineLevel="0" collapsed="false">
      <c r="C943" s="11"/>
      <c r="K943" s="11"/>
      <c r="L943" s="11"/>
      <c r="O943" s="11"/>
    </row>
    <row r="944" customFormat="false" ht="14.25" hidden="false" customHeight="true" outlineLevel="0" collapsed="false">
      <c r="C944" s="11"/>
      <c r="K944" s="11"/>
      <c r="L944" s="11"/>
      <c r="O944" s="11"/>
    </row>
    <row r="945" customFormat="false" ht="14.25" hidden="false" customHeight="true" outlineLevel="0" collapsed="false">
      <c r="C945" s="11"/>
      <c r="K945" s="11"/>
      <c r="L945" s="11"/>
      <c r="O945" s="11"/>
    </row>
    <row r="946" customFormat="false" ht="14.25" hidden="false" customHeight="true" outlineLevel="0" collapsed="false">
      <c r="C946" s="11"/>
      <c r="K946" s="11"/>
      <c r="L946" s="11"/>
      <c r="O946" s="11"/>
    </row>
    <row r="947" customFormat="false" ht="14.25" hidden="false" customHeight="true" outlineLevel="0" collapsed="false">
      <c r="C947" s="11"/>
      <c r="K947" s="11"/>
      <c r="L947" s="11"/>
      <c r="O947" s="11"/>
    </row>
    <row r="948" customFormat="false" ht="14.25" hidden="false" customHeight="true" outlineLevel="0" collapsed="false">
      <c r="C948" s="11"/>
      <c r="K948" s="11"/>
      <c r="L948" s="11"/>
      <c r="O948" s="11"/>
    </row>
    <row r="949" customFormat="false" ht="14.25" hidden="false" customHeight="true" outlineLevel="0" collapsed="false">
      <c r="C949" s="11"/>
      <c r="K949" s="11"/>
      <c r="L949" s="11"/>
      <c r="O949" s="11"/>
    </row>
    <row r="950" customFormat="false" ht="14.25" hidden="false" customHeight="true" outlineLevel="0" collapsed="false">
      <c r="C950" s="11"/>
      <c r="K950" s="11"/>
      <c r="L950" s="11"/>
      <c r="O950" s="11"/>
    </row>
    <row r="951" customFormat="false" ht="14.25" hidden="false" customHeight="true" outlineLevel="0" collapsed="false">
      <c r="C951" s="11"/>
      <c r="K951" s="11"/>
      <c r="L951" s="11"/>
      <c r="O951" s="11"/>
    </row>
    <row r="952" customFormat="false" ht="14.25" hidden="false" customHeight="true" outlineLevel="0" collapsed="false">
      <c r="C952" s="11"/>
      <c r="K952" s="11"/>
      <c r="L952" s="11"/>
      <c r="O952" s="11"/>
    </row>
    <row r="953" customFormat="false" ht="14.25" hidden="false" customHeight="true" outlineLevel="0" collapsed="false">
      <c r="C953" s="11"/>
      <c r="K953" s="11"/>
      <c r="L953" s="11"/>
      <c r="O953" s="11"/>
    </row>
    <row r="954" customFormat="false" ht="14.25" hidden="false" customHeight="true" outlineLevel="0" collapsed="false">
      <c r="C954" s="11"/>
      <c r="K954" s="11"/>
      <c r="L954" s="11"/>
      <c r="O954" s="11"/>
    </row>
    <row r="955" customFormat="false" ht="14.25" hidden="false" customHeight="true" outlineLevel="0" collapsed="false">
      <c r="C955" s="11"/>
      <c r="K955" s="11"/>
      <c r="L955" s="11"/>
      <c r="O955" s="11"/>
    </row>
    <row r="956" customFormat="false" ht="14.25" hidden="false" customHeight="true" outlineLevel="0" collapsed="false">
      <c r="C956" s="11"/>
      <c r="K956" s="11"/>
      <c r="L956" s="11"/>
      <c r="O956" s="11"/>
    </row>
    <row r="957" customFormat="false" ht="14.25" hidden="false" customHeight="true" outlineLevel="0" collapsed="false">
      <c r="C957" s="11"/>
      <c r="K957" s="11"/>
      <c r="L957" s="11"/>
      <c r="O957" s="11"/>
    </row>
    <row r="958" customFormat="false" ht="14.25" hidden="false" customHeight="true" outlineLevel="0" collapsed="false">
      <c r="C958" s="11"/>
      <c r="K958" s="11"/>
      <c r="L958" s="11"/>
      <c r="O958" s="11"/>
    </row>
    <row r="959" customFormat="false" ht="14.25" hidden="false" customHeight="true" outlineLevel="0" collapsed="false">
      <c r="C959" s="11"/>
      <c r="K959" s="11"/>
      <c r="L959" s="11"/>
      <c r="O959" s="11"/>
    </row>
    <row r="960" customFormat="false" ht="14.25" hidden="false" customHeight="true" outlineLevel="0" collapsed="false">
      <c r="C960" s="11"/>
      <c r="K960" s="11"/>
      <c r="L960" s="11"/>
      <c r="O960" s="11"/>
    </row>
    <row r="961" customFormat="false" ht="14.25" hidden="false" customHeight="true" outlineLevel="0" collapsed="false">
      <c r="C961" s="11"/>
      <c r="K961" s="11"/>
      <c r="L961" s="11"/>
      <c r="O961" s="11"/>
    </row>
    <row r="962" customFormat="false" ht="14.25" hidden="false" customHeight="true" outlineLevel="0" collapsed="false">
      <c r="C962" s="11"/>
      <c r="K962" s="11"/>
      <c r="L962" s="11"/>
      <c r="O962" s="11"/>
    </row>
    <row r="963" customFormat="false" ht="14.25" hidden="false" customHeight="true" outlineLevel="0" collapsed="false">
      <c r="C963" s="11"/>
      <c r="K963" s="11"/>
      <c r="L963" s="11"/>
      <c r="O963" s="11"/>
    </row>
    <row r="964" customFormat="false" ht="14.25" hidden="false" customHeight="true" outlineLevel="0" collapsed="false">
      <c r="C964" s="11"/>
      <c r="K964" s="11"/>
      <c r="L964" s="11"/>
      <c r="O964" s="11"/>
    </row>
    <row r="965" customFormat="false" ht="14.25" hidden="false" customHeight="true" outlineLevel="0" collapsed="false">
      <c r="C965" s="11"/>
      <c r="K965" s="11"/>
      <c r="L965" s="11"/>
      <c r="O965" s="11"/>
    </row>
    <row r="966" customFormat="false" ht="14.25" hidden="false" customHeight="true" outlineLevel="0" collapsed="false">
      <c r="C966" s="11"/>
      <c r="K966" s="11"/>
      <c r="L966" s="11"/>
      <c r="O966" s="11"/>
    </row>
    <row r="967" customFormat="false" ht="14.25" hidden="false" customHeight="true" outlineLevel="0" collapsed="false">
      <c r="C967" s="11"/>
      <c r="K967" s="11"/>
      <c r="L967" s="11"/>
      <c r="O967" s="11"/>
    </row>
    <row r="968" customFormat="false" ht="14.25" hidden="false" customHeight="true" outlineLevel="0" collapsed="false">
      <c r="C968" s="11"/>
      <c r="K968" s="11"/>
      <c r="L968" s="11"/>
      <c r="O968" s="11"/>
    </row>
    <row r="969" customFormat="false" ht="14.25" hidden="false" customHeight="true" outlineLevel="0" collapsed="false">
      <c r="C969" s="11"/>
      <c r="K969" s="11"/>
      <c r="L969" s="11"/>
      <c r="O969" s="11"/>
    </row>
    <row r="970" customFormat="false" ht="14.25" hidden="false" customHeight="true" outlineLevel="0" collapsed="false">
      <c r="C970" s="11"/>
      <c r="K970" s="11"/>
      <c r="L970" s="11"/>
      <c r="O970" s="11"/>
    </row>
    <row r="971" customFormat="false" ht="14.25" hidden="false" customHeight="true" outlineLevel="0" collapsed="false">
      <c r="C971" s="11"/>
      <c r="K971" s="11"/>
      <c r="L971" s="11"/>
      <c r="O971" s="11"/>
    </row>
    <row r="972" customFormat="false" ht="14.25" hidden="false" customHeight="true" outlineLevel="0" collapsed="false">
      <c r="C972" s="11"/>
      <c r="K972" s="11"/>
      <c r="L972" s="11"/>
      <c r="O972" s="11"/>
    </row>
    <row r="973" customFormat="false" ht="14.25" hidden="false" customHeight="true" outlineLevel="0" collapsed="false">
      <c r="C973" s="11"/>
      <c r="K973" s="11"/>
      <c r="L973" s="11"/>
      <c r="O973" s="11"/>
    </row>
    <row r="974" customFormat="false" ht="14.25" hidden="false" customHeight="true" outlineLevel="0" collapsed="false">
      <c r="C974" s="11"/>
      <c r="K974" s="11"/>
      <c r="L974" s="11"/>
      <c r="O974" s="11"/>
    </row>
    <row r="975" customFormat="false" ht="14.25" hidden="false" customHeight="true" outlineLevel="0" collapsed="false">
      <c r="C975" s="11"/>
      <c r="K975" s="11"/>
      <c r="L975" s="11"/>
      <c r="O975" s="11"/>
    </row>
    <row r="976" customFormat="false" ht="14.25" hidden="false" customHeight="true" outlineLevel="0" collapsed="false">
      <c r="C976" s="11"/>
      <c r="K976" s="11"/>
      <c r="L976" s="11"/>
      <c r="O976" s="11"/>
    </row>
    <row r="977" customFormat="false" ht="14.25" hidden="false" customHeight="true" outlineLevel="0" collapsed="false">
      <c r="C977" s="11"/>
      <c r="K977" s="11"/>
      <c r="L977" s="11"/>
      <c r="O977" s="11"/>
    </row>
    <row r="978" customFormat="false" ht="14.25" hidden="false" customHeight="true" outlineLevel="0" collapsed="false">
      <c r="C978" s="11"/>
      <c r="K978" s="11"/>
      <c r="L978" s="11"/>
      <c r="O978" s="11"/>
    </row>
    <row r="979" customFormat="false" ht="14.25" hidden="false" customHeight="true" outlineLevel="0" collapsed="false">
      <c r="C979" s="11"/>
      <c r="K979" s="11"/>
      <c r="L979" s="11"/>
      <c r="O979" s="11"/>
    </row>
    <row r="980" customFormat="false" ht="14.25" hidden="false" customHeight="true" outlineLevel="0" collapsed="false">
      <c r="C980" s="11"/>
      <c r="K980" s="11"/>
      <c r="L980" s="11"/>
      <c r="O980" s="11"/>
    </row>
    <row r="981" customFormat="false" ht="14.25" hidden="false" customHeight="true" outlineLevel="0" collapsed="false">
      <c r="C981" s="11"/>
      <c r="K981" s="11"/>
      <c r="L981" s="11"/>
      <c r="O981" s="11"/>
    </row>
    <row r="982" customFormat="false" ht="14.25" hidden="false" customHeight="true" outlineLevel="0" collapsed="false">
      <c r="C982" s="11"/>
      <c r="K982" s="11"/>
      <c r="L982" s="11"/>
      <c r="O982" s="11"/>
    </row>
    <row r="983" customFormat="false" ht="14.25" hidden="false" customHeight="true" outlineLevel="0" collapsed="false">
      <c r="C983" s="11"/>
      <c r="K983" s="11"/>
      <c r="L983" s="11"/>
      <c r="O983" s="11"/>
    </row>
    <row r="984" customFormat="false" ht="14.25" hidden="false" customHeight="true" outlineLevel="0" collapsed="false">
      <c r="C984" s="11"/>
      <c r="K984" s="11"/>
      <c r="L984" s="11"/>
      <c r="O984" s="11"/>
    </row>
    <row r="985" customFormat="false" ht="14.25" hidden="false" customHeight="true" outlineLevel="0" collapsed="false">
      <c r="C985" s="11"/>
      <c r="K985" s="11"/>
      <c r="L985" s="11"/>
      <c r="O985" s="11"/>
    </row>
    <row r="986" customFormat="false" ht="14.25" hidden="false" customHeight="true" outlineLevel="0" collapsed="false">
      <c r="C986" s="11"/>
      <c r="K986" s="11"/>
      <c r="L986" s="11"/>
      <c r="O986" s="11"/>
    </row>
    <row r="987" customFormat="false" ht="14.25" hidden="false" customHeight="true" outlineLevel="0" collapsed="false">
      <c r="C987" s="11"/>
      <c r="K987" s="11"/>
      <c r="L987" s="11"/>
      <c r="O987" s="11"/>
    </row>
    <row r="988" customFormat="false" ht="14.25" hidden="false" customHeight="true" outlineLevel="0" collapsed="false">
      <c r="C988" s="11"/>
      <c r="K988" s="11"/>
      <c r="L988" s="11"/>
      <c r="O988" s="11"/>
    </row>
    <row r="989" customFormat="false" ht="14.25" hidden="false" customHeight="true" outlineLevel="0" collapsed="false">
      <c r="C989" s="11"/>
      <c r="K989" s="11"/>
      <c r="L989" s="11"/>
      <c r="O989" s="11"/>
    </row>
    <row r="990" customFormat="false" ht="14.25" hidden="false" customHeight="true" outlineLevel="0" collapsed="false">
      <c r="C990" s="11"/>
      <c r="K990" s="11"/>
      <c r="L990" s="11"/>
      <c r="O990" s="11"/>
    </row>
    <row r="991" customFormat="false" ht="14.25" hidden="false" customHeight="true" outlineLevel="0" collapsed="false">
      <c r="C991" s="11"/>
      <c r="K991" s="11"/>
      <c r="L991" s="11"/>
      <c r="O991" s="11"/>
    </row>
    <row r="992" customFormat="false" ht="14.25" hidden="false" customHeight="true" outlineLevel="0" collapsed="false">
      <c r="C992" s="11"/>
      <c r="K992" s="11"/>
      <c r="L992" s="11"/>
      <c r="O992" s="11"/>
    </row>
    <row r="993" customFormat="false" ht="14.25" hidden="false" customHeight="true" outlineLevel="0" collapsed="false">
      <c r="C993" s="11"/>
      <c r="K993" s="11"/>
      <c r="L993" s="11"/>
      <c r="O993" s="11"/>
    </row>
    <row r="994" customFormat="false" ht="14.25" hidden="false" customHeight="true" outlineLevel="0" collapsed="false">
      <c r="C994" s="11"/>
      <c r="K994" s="11"/>
      <c r="L994" s="11"/>
      <c r="O994" s="11"/>
    </row>
    <row r="995" customFormat="false" ht="14.25" hidden="false" customHeight="true" outlineLevel="0" collapsed="false">
      <c r="C995" s="11"/>
      <c r="K995" s="11"/>
      <c r="L995" s="11"/>
      <c r="O995" s="11"/>
    </row>
    <row r="996" customFormat="false" ht="14.25" hidden="false" customHeight="true" outlineLevel="0" collapsed="false">
      <c r="C996" s="11"/>
      <c r="K996" s="11"/>
      <c r="L996" s="11"/>
      <c r="O996" s="11"/>
    </row>
    <row r="997" customFormat="false" ht="14.25" hidden="false" customHeight="true" outlineLevel="0" collapsed="false">
      <c r="C997" s="11"/>
      <c r="K997" s="11"/>
      <c r="L997" s="11"/>
      <c r="O997" s="11"/>
    </row>
    <row r="998" customFormat="false" ht="14.25" hidden="false" customHeight="true" outlineLevel="0" collapsed="false">
      <c r="C998" s="11"/>
      <c r="K998" s="11"/>
      <c r="L998" s="11"/>
      <c r="O998" s="11"/>
    </row>
    <row r="999" customFormat="false" ht="14.25" hidden="false" customHeight="true" outlineLevel="0" collapsed="false">
      <c r="C999" s="11"/>
      <c r="K999" s="11"/>
      <c r="L999" s="11"/>
      <c r="O999" s="11"/>
    </row>
    <row r="1000" customFormat="false" ht="14.25" hidden="false" customHeight="true" outlineLevel="0" collapsed="false">
      <c r="C1000" s="11"/>
      <c r="K1000" s="11"/>
      <c r="L1000" s="11"/>
      <c r="O1000" s="11"/>
    </row>
    <row r="1001" customFormat="false" ht="14.25" hidden="false" customHeight="true" outlineLevel="0" collapsed="false">
      <c r="C1001" s="11"/>
      <c r="K1001" s="11"/>
      <c r="L1001" s="11"/>
      <c r="O1001" s="11"/>
    </row>
    <row r="1002" customFormat="false" ht="14.25" hidden="false" customHeight="true" outlineLevel="0" collapsed="false">
      <c r="C1002" s="11"/>
      <c r="K1002" s="11"/>
      <c r="L1002" s="11"/>
      <c r="O1002" s="11"/>
    </row>
    <row r="1003" customFormat="false" ht="14.25" hidden="false" customHeight="true" outlineLevel="0" collapsed="false">
      <c r="C1003" s="11"/>
      <c r="K1003" s="11"/>
      <c r="L1003" s="11"/>
      <c r="O1003" s="11"/>
    </row>
    <row r="1004" customFormat="false" ht="14.25" hidden="false" customHeight="true" outlineLevel="0" collapsed="false">
      <c r="C1004" s="11"/>
      <c r="K1004" s="11"/>
      <c r="L1004" s="11"/>
      <c r="O1004" s="11"/>
    </row>
    <row r="1005" customFormat="false" ht="14.25" hidden="false" customHeight="true" outlineLevel="0" collapsed="false">
      <c r="C1005" s="11"/>
      <c r="K1005" s="11"/>
      <c r="L1005" s="11"/>
      <c r="O1005" s="11"/>
    </row>
    <row r="1006" customFormat="false" ht="14.25" hidden="false" customHeight="true" outlineLevel="0" collapsed="false">
      <c r="C1006" s="11"/>
      <c r="K1006" s="11"/>
      <c r="L1006" s="11"/>
      <c r="O1006" s="11"/>
    </row>
    <row r="1007" customFormat="false" ht="14.25" hidden="false" customHeight="true" outlineLevel="0" collapsed="false">
      <c r="C1007" s="11"/>
      <c r="K1007" s="11"/>
      <c r="L1007" s="11"/>
      <c r="O1007" s="11"/>
    </row>
    <row r="1008" customFormat="false" ht="14.25" hidden="false" customHeight="true" outlineLevel="0" collapsed="false">
      <c r="C1008" s="11"/>
      <c r="K1008" s="11"/>
      <c r="L1008" s="11"/>
      <c r="O1008" s="11"/>
    </row>
    <row r="1009" customFormat="false" ht="14.25" hidden="false" customHeight="true" outlineLevel="0" collapsed="false">
      <c r="C1009" s="11"/>
      <c r="K1009" s="11"/>
      <c r="L1009" s="11"/>
      <c r="O1009" s="11"/>
    </row>
  </sheetData>
  <conditionalFormatting sqref="AX2:AX10000">
    <cfRule type="expression" priority="2" aboveAverage="0" equalAverage="0" bottom="0" percent="0" rank="0" text="" dxfId="12">
      <formula>$AX2="Ready for publication"</formula>
    </cfRule>
    <cfRule type="expression" priority="3" aboveAverage="0" equalAverage="0" bottom="0" percent="0" rank="0" text="" dxfId="13">
      <formula>$AX2="Demo record"</formula>
    </cfRule>
    <cfRule type="expression" priority="4" aboveAverage="0" equalAverage="0" bottom="0" percent="0" rank="0" text="" dxfId="14">
      <formula>NOT(ISERROR(SEARCH("required",$AX2)))</formula>
    </cfRule>
    <cfRule type="expression" priority="5" aboveAverage="0" equalAverage="0" bottom="0" percent="0" rank="0" text="" dxfId="15">
      <formula>NOT(ISERROR(SEARCH("Invalid",$AX2)))</formula>
    </cfRule>
  </conditionalFormatting>
  <conditionalFormatting sqref="AV2:AV10000">
    <cfRule type="expression" priority="6" aboveAverage="0" equalAverage="0" bottom="0" percent="0" rank="0" text="" dxfId="12">
      <formula>$AV2="Complete"</formula>
    </cfRule>
    <cfRule type="expression" priority="7" aboveAverage="0" equalAverage="0" bottom="0" percent="0" rank="0" text="" dxfId="14">
      <formula>$AV2&lt;&gt;"Complete"</formula>
    </cfRule>
  </conditionalFormatting>
  <dataValidations count="6">
    <dataValidation allowBlank="false" error="Select a value." errorStyle="stop" errorTitle="Invalid" operator="between" showDropDown="false" showErrorMessage="true" showInputMessage="false" sqref="C2:C1009" type="list">
      <formula1>"Singapore,Japan,Malaysia,Indonesia,United Kingdom,United States,Australia,Other"</formula1>
      <formula2>0</formula2>
    </dataValidation>
    <dataValidation allowBlank="false" error="Select a value." errorStyle="stop" errorTitle="Invalid" operator="between" showDropDown="false" showErrorMessage="true" showInputMessage="false" sqref="Q2:Q1009 U2:AG1009 AT2:AT1009" type="list">
      <formula1>"TRUE,FALSE,Not Stated"</formula1>
      <formula2>0</formula2>
    </dataValidation>
    <dataValidation allowBlank="false" error="Select a value." errorStyle="stop" errorTitle="Invalid" operator="between" showDropDown="false" showErrorMessage="true" showInputMessage="false" sqref="O2:O1009" type="list">
      <formula1>"Self-declared Muslim-friendly,Community suggested — not verified,Halal certified,Pending verification"</formula1>
      <formula2>0</formula2>
    </dataValidation>
    <dataValidation allowBlank="false" error="Select a value." errorStyle="stop" errorTitle="Invalid" operator="between" showDropDown="false" showErrorMessage="true" showInputMessage="false" sqref="S2:S1009" type="list">
      <formula1>"Muis (Singapore),JAKIM (Malaysia),MUI (Indonesia),Other"</formula1>
      <formula2>0</formula2>
    </dataValidation>
    <dataValidation allowBlank="false" error="Select a value." errorStyle="stop" errorTitle="Invalid" operator="between" showDropDown="false" showErrorMessage="true" showInputMessage="false" sqref="K2:K1009" type="list">
      <formula1>"Café,Café / Brunch,Japanese,Korean,Western,Chinese,Malay,Indian,Indonesian,Thai,Vietnamese,Mediterranean,Fusion,International,Local / Hawker,Middle Eastern,Other"</formula1>
      <formula2>0</formula2>
    </dataValidation>
    <dataValidation allowBlank="false" error="Select a value." errorStyle="stop" errorTitle="Invalid" operator="between" showDropDown="false" showErrorMessage="true" showInputMessage="false" sqref="L2:L1009" type="list">
      <formula1>"Restaurant,Café,Bar &amp; Grill,Bistro,Casual Dining,Food Court,Hawker,Hotel Restaurant,Bakery,Caterer,Other"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28"/>
    <col collapsed="false" customWidth="true" hidden="false" outlineLevel="0" max="5" min="5" style="1" width="18"/>
    <col collapsed="false" customWidth="true" hidden="false" outlineLevel="0" max="6" min="6" style="1" width="30"/>
  </cols>
  <sheetData>
    <row r="1" customFormat="false" ht="14.25" hidden="false" customHeight="true" outlineLevel="0" collapsed="false">
      <c r="A1" s="13" t="s">
        <v>5</v>
      </c>
      <c r="B1" s="13" t="s">
        <v>8</v>
      </c>
      <c r="C1" s="13" t="s">
        <v>9</v>
      </c>
      <c r="D1" s="13" t="s">
        <v>1099</v>
      </c>
      <c r="E1" s="13" t="s">
        <v>1100</v>
      </c>
      <c r="F1" s="13" t="s">
        <v>1101</v>
      </c>
    </row>
    <row r="2" customFormat="false" ht="14.25" hidden="false" customHeight="true" outlineLevel="0" collapsed="false">
      <c r="A2" s="14" t="s">
        <v>1102</v>
      </c>
      <c r="B2" s="14" t="s">
        <v>194</v>
      </c>
      <c r="C2" s="14" t="s">
        <v>195</v>
      </c>
      <c r="D2" s="14" t="s">
        <v>193</v>
      </c>
      <c r="E2" s="14" t="s">
        <v>1103</v>
      </c>
    </row>
    <row r="3" customFormat="false" ht="14.25" hidden="false" customHeight="true" outlineLevel="0" collapsed="false">
      <c r="A3" s="14" t="s">
        <v>1104</v>
      </c>
      <c r="B3" s="14" t="s">
        <v>194</v>
      </c>
      <c r="C3" s="14" t="s">
        <v>195</v>
      </c>
      <c r="D3" s="14" t="s">
        <v>193</v>
      </c>
      <c r="E3" s="14" t="s">
        <v>1103</v>
      </c>
    </row>
    <row r="4" customFormat="false" ht="14.25" hidden="false" customHeight="true" outlineLevel="0" collapsed="false">
      <c r="A4" s="14" t="s">
        <v>1105</v>
      </c>
      <c r="B4" s="14" t="s">
        <v>194</v>
      </c>
      <c r="C4" s="14" t="s">
        <v>195</v>
      </c>
      <c r="D4" s="14" t="s">
        <v>193</v>
      </c>
      <c r="E4" s="14" t="s">
        <v>1103</v>
      </c>
    </row>
    <row r="5" customFormat="false" ht="14.25" hidden="false" customHeight="true" outlineLevel="0" collapsed="false">
      <c r="A5" s="14" t="s">
        <v>1106</v>
      </c>
      <c r="B5" s="14" t="s">
        <v>194</v>
      </c>
      <c r="C5" s="14" t="s">
        <v>195</v>
      </c>
      <c r="D5" s="14" t="s">
        <v>193</v>
      </c>
      <c r="E5" s="14" t="s">
        <v>1103</v>
      </c>
    </row>
    <row r="6" customFormat="false" ht="14.25" hidden="false" customHeight="true" outlineLevel="0" collapsed="false">
      <c r="A6" s="14" t="s">
        <v>1107</v>
      </c>
      <c r="B6" s="14" t="s">
        <v>194</v>
      </c>
      <c r="C6" s="14" t="s">
        <v>195</v>
      </c>
      <c r="D6" s="14" t="s">
        <v>193</v>
      </c>
      <c r="E6" s="14" t="s">
        <v>1103</v>
      </c>
    </row>
    <row r="7" customFormat="false" ht="14.25" hidden="false" customHeight="true" outlineLevel="0" collapsed="false">
      <c r="A7" s="14" t="s">
        <v>1108</v>
      </c>
      <c r="B7" s="14" t="s">
        <v>194</v>
      </c>
      <c r="C7" s="14" t="s">
        <v>195</v>
      </c>
      <c r="D7" s="14" t="s">
        <v>193</v>
      </c>
      <c r="E7" s="14" t="s">
        <v>1103</v>
      </c>
    </row>
    <row r="8" customFormat="false" ht="14.25" hidden="false" customHeight="true" outlineLevel="0" collapsed="false">
      <c r="A8" s="14" t="s">
        <v>1109</v>
      </c>
      <c r="B8" s="14" t="s">
        <v>239</v>
      </c>
      <c r="C8" s="14" t="s">
        <v>240</v>
      </c>
      <c r="D8" s="14" t="s">
        <v>238</v>
      </c>
      <c r="E8" s="14" t="s">
        <v>1103</v>
      </c>
    </row>
    <row r="9" customFormat="false" ht="14.25" hidden="false" customHeight="true" outlineLevel="0" collapsed="false">
      <c r="A9" s="14" t="s">
        <v>1110</v>
      </c>
      <c r="B9" s="14" t="s">
        <v>239</v>
      </c>
      <c r="C9" s="14" t="s">
        <v>240</v>
      </c>
      <c r="D9" s="14" t="s">
        <v>238</v>
      </c>
      <c r="E9" s="14" t="s">
        <v>1103</v>
      </c>
    </row>
    <row r="10" customFormat="false" ht="14.25" hidden="false" customHeight="true" outlineLevel="0" collapsed="false">
      <c r="A10" s="14" t="s">
        <v>1111</v>
      </c>
      <c r="B10" s="14" t="s">
        <v>389</v>
      </c>
      <c r="C10" s="14" t="s">
        <v>390</v>
      </c>
      <c r="D10" s="14" t="s">
        <v>388</v>
      </c>
      <c r="E10" s="14" t="s">
        <v>1103</v>
      </c>
    </row>
    <row r="11" customFormat="false" ht="14.25" hidden="false" customHeight="true" outlineLevel="0" collapsed="false">
      <c r="A11" s="14" t="s">
        <v>1112</v>
      </c>
      <c r="B11" s="14" t="s">
        <v>389</v>
      </c>
      <c r="C11" s="14" t="s">
        <v>390</v>
      </c>
      <c r="D11" s="14" t="s">
        <v>388</v>
      </c>
      <c r="E11" s="14" t="s">
        <v>1103</v>
      </c>
    </row>
    <row r="12" customFormat="false" ht="14.25" hidden="false" customHeight="true" outlineLevel="0" collapsed="false">
      <c r="A12" s="14" t="s">
        <v>1113</v>
      </c>
      <c r="B12" s="14" t="s">
        <v>365</v>
      </c>
      <c r="C12" s="14" t="s">
        <v>366</v>
      </c>
      <c r="D12" s="14" t="s">
        <v>364</v>
      </c>
      <c r="E12" s="14" t="s">
        <v>1103</v>
      </c>
    </row>
    <row r="13" customFormat="false" ht="14.25" hidden="false" customHeight="true" outlineLevel="0" collapsed="false">
      <c r="A13" s="14" t="s">
        <v>1114</v>
      </c>
      <c r="B13" s="14" t="s">
        <v>365</v>
      </c>
      <c r="C13" s="14" t="s">
        <v>366</v>
      </c>
      <c r="D13" s="14" t="s">
        <v>364</v>
      </c>
      <c r="E13" s="14" t="s">
        <v>1103</v>
      </c>
    </row>
    <row r="14" customFormat="false" ht="14.25" hidden="false" customHeight="true" outlineLevel="0" collapsed="false">
      <c r="A14" s="14" t="s">
        <v>1115</v>
      </c>
      <c r="B14" s="14" t="s">
        <v>365</v>
      </c>
      <c r="C14" s="14" t="s">
        <v>366</v>
      </c>
      <c r="D14" s="14" t="s">
        <v>364</v>
      </c>
      <c r="E14" s="14" t="s">
        <v>1103</v>
      </c>
    </row>
    <row r="15" customFormat="false" ht="14.25" hidden="false" customHeight="true" outlineLevel="0" collapsed="false">
      <c r="A15" s="14" t="s">
        <v>1116</v>
      </c>
      <c r="B15" s="14" t="s">
        <v>213</v>
      </c>
      <c r="C15" s="14" t="s">
        <v>214</v>
      </c>
      <c r="D15" s="14" t="s">
        <v>212</v>
      </c>
      <c r="E15" s="14" t="s">
        <v>1117</v>
      </c>
    </row>
    <row r="16" customFormat="false" ht="14.25" hidden="false" customHeight="true" outlineLevel="0" collapsed="false">
      <c r="A16" s="14" t="s">
        <v>1118</v>
      </c>
      <c r="B16" s="14" t="s">
        <v>213</v>
      </c>
      <c r="C16" s="14" t="s">
        <v>214</v>
      </c>
      <c r="D16" s="14" t="s">
        <v>212</v>
      </c>
      <c r="E16" s="14" t="s">
        <v>1117</v>
      </c>
    </row>
    <row r="17" customFormat="false" ht="14.25" hidden="false" customHeight="true" outlineLevel="0" collapsed="false">
      <c r="A17" s="14" t="s">
        <v>1119</v>
      </c>
      <c r="B17" s="14" t="s">
        <v>213</v>
      </c>
      <c r="C17" s="14" t="s">
        <v>214</v>
      </c>
      <c r="D17" s="14" t="s">
        <v>212</v>
      </c>
      <c r="E17" s="14" t="s">
        <v>1117</v>
      </c>
    </row>
    <row r="18" customFormat="false" ht="14.25" hidden="false" customHeight="true" outlineLevel="0" collapsed="false">
      <c r="A18" s="14" t="s">
        <v>1120</v>
      </c>
      <c r="B18" s="14" t="s">
        <v>602</v>
      </c>
      <c r="C18" s="14" t="s">
        <v>603</v>
      </c>
      <c r="D18" s="14" t="s">
        <v>601</v>
      </c>
      <c r="E18" s="14" t="s">
        <v>1103</v>
      </c>
    </row>
    <row r="19" customFormat="false" ht="14.25" hidden="false" customHeight="true" outlineLevel="0" collapsed="false">
      <c r="A19" s="14" t="s">
        <v>1121</v>
      </c>
      <c r="B19" s="14" t="s">
        <v>223</v>
      </c>
      <c r="C19" s="14" t="s">
        <v>224</v>
      </c>
      <c r="D19" s="14" t="s">
        <v>222</v>
      </c>
      <c r="E19" s="14" t="s">
        <v>1103</v>
      </c>
    </row>
    <row r="20" customFormat="false" ht="14.25" hidden="false" customHeight="true" outlineLevel="0" collapsed="false">
      <c r="A20" s="14" t="s">
        <v>1122</v>
      </c>
      <c r="B20" s="14" t="s">
        <v>223</v>
      </c>
      <c r="C20" s="14" t="s">
        <v>224</v>
      </c>
      <c r="D20" s="14" t="s">
        <v>222</v>
      </c>
      <c r="E20" s="14" t="s">
        <v>1103</v>
      </c>
    </row>
    <row r="21" customFormat="false" ht="14.25" hidden="false" customHeight="true" outlineLevel="0" collapsed="false">
      <c r="A21" s="14" t="s">
        <v>1123</v>
      </c>
      <c r="B21" s="14" t="s">
        <v>339</v>
      </c>
      <c r="C21" s="14" t="s">
        <v>340</v>
      </c>
      <c r="D21" s="14" t="s">
        <v>338</v>
      </c>
      <c r="E21" s="14" t="s">
        <v>1103</v>
      </c>
    </row>
    <row r="22" customFormat="false" ht="14.25" hidden="false" customHeight="true" outlineLevel="0" collapsed="false">
      <c r="A22" s="14" t="s">
        <v>1124</v>
      </c>
      <c r="B22" s="14" t="s">
        <v>339</v>
      </c>
      <c r="C22" s="14" t="s">
        <v>340</v>
      </c>
      <c r="D22" s="14" t="s">
        <v>338</v>
      </c>
      <c r="E22" s="14" t="s">
        <v>1103</v>
      </c>
    </row>
    <row r="23" customFormat="false" ht="14.25" hidden="false" customHeight="true" outlineLevel="0" collapsed="false">
      <c r="A23" s="14" t="s">
        <v>1125</v>
      </c>
      <c r="B23" s="14" t="s">
        <v>1126</v>
      </c>
      <c r="C23" s="14" t="s">
        <v>1127</v>
      </c>
      <c r="D23" s="14" t="s">
        <v>1128</v>
      </c>
      <c r="E23" s="14" t="s">
        <v>1103</v>
      </c>
    </row>
    <row r="24" customFormat="false" ht="14.25" hidden="false" customHeight="true" outlineLevel="0" collapsed="false">
      <c r="A24" s="14" t="s">
        <v>1129</v>
      </c>
      <c r="B24" s="14" t="s">
        <v>1126</v>
      </c>
      <c r="C24" s="14" t="s">
        <v>1127</v>
      </c>
      <c r="D24" s="14" t="s">
        <v>1128</v>
      </c>
      <c r="E24" s="14" t="s">
        <v>1103</v>
      </c>
    </row>
    <row r="25" customFormat="false" ht="14.25" hidden="false" customHeight="true" outlineLevel="0" collapsed="false">
      <c r="A25" s="14" t="s">
        <v>1130</v>
      </c>
      <c r="B25" s="14" t="s">
        <v>566</v>
      </c>
      <c r="C25" s="14" t="s">
        <v>567</v>
      </c>
      <c r="D25" s="14" t="s">
        <v>565</v>
      </c>
      <c r="E25" s="14" t="s">
        <v>1103</v>
      </c>
    </row>
    <row r="26" customFormat="false" ht="14.25" hidden="false" customHeight="true" outlineLevel="0" collapsed="false">
      <c r="A26" s="14" t="s">
        <v>1131</v>
      </c>
      <c r="B26" s="14" t="s">
        <v>566</v>
      </c>
      <c r="C26" s="14" t="s">
        <v>567</v>
      </c>
      <c r="D26" s="14" t="s">
        <v>565</v>
      </c>
      <c r="E26" s="14" t="s">
        <v>1103</v>
      </c>
    </row>
    <row r="27" customFormat="false" ht="14.25" hidden="false" customHeight="true" outlineLevel="0" collapsed="false">
      <c r="A27" s="14" t="s">
        <v>1132</v>
      </c>
      <c r="B27" s="14" t="s">
        <v>566</v>
      </c>
      <c r="C27" s="14" t="s">
        <v>567</v>
      </c>
      <c r="D27" s="14" t="s">
        <v>565</v>
      </c>
      <c r="E27" s="14" t="s">
        <v>1103</v>
      </c>
    </row>
    <row r="28" customFormat="false" ht="14.25" hidden="false" customHeight="true" outlineLevel="0" collapsed="false">
      <c r="A28" s="14" t="s">
        <v>1133</v>
      </c>
      <c r="B28" s="14" t="s">
        <v>566</v>
      </c>
      <c r="C28" s="14" t="s">
        <v>567</v>
      </c>
      <c r="D28" s="14" t="s">
        <v>1134</v>
      </c>
      <c r="E28" s="14" t="s">
        <v>1103</v>
      </c>
    </row>
    <row r="29" customFormat="false" ht="14.25" hidden="false" customHeight="true" outlineLevel="0" collapsed="false">
      <c r="A29" s="14" t="s">
        <v>1135</v>
      </c>
      <c r="B29" s="14" t="s">
        <v>109</v>
      </c>
      <c r="C29" s="14" t="s">
        <v>110</v>
      </c>
      <c r="D29" s="14" t="s">
        <v>108</v>
      </c>
      <c r="E29" s="14" t="s">
        <v>1103</v>
      </c>
    </row>
    <row r="30" customFormat="false" ht="14.25" hidden="false" customHeight="true" outlineLevel="0" collapsed="false">
      <c r="A30" s="14" t="s">
        <v>1136</v>
      </c>
      <c r="B30" s="14" t="s">
        <v>109</v>
      </c>
      <c r="C30" s="14" t="s">
        <v>110</v>
      </c>
      <c r="D30" s="14" t="s">
        <v>108</v>
      </c>
      <c r="E30" s="14" t="s">
        <v>1103</v>
      </c>
    </row>
    <row r="31" customFormat="false" ht="14.25" hidden="false" customHeight="true" outlineLevel="0" collapsed="false">
      <c r="A31" s="14" t="s">
        <v>1137</v>
      </c>
      <c r="B31" s="14" t="s">
        <v>109</v>
      </c>
      <c r="C31" s="14" t="s">
        <v>110</v>
      </c>
      <c r="D31" s="14" t="s">
        <v>926</v>
      </c>
      <c r="E31" s="14" t="s">
        <v>1103</v>
      </c>
    </row>
    <row r="32" customFormat="false" ht="14.25" hidden="false" customHeight="true" outlineLevel="0" collapsed="false">
      <c r="A32" s="14" t="s">
        <v>1138</v>
      </c>
      <c r="B32" s="14" t="s">
        <v>56</v>
      </c>
      <c r="C32" s="14" t="s">
        <v>57</v>
      </c>
      <c r="D32" s="14" t="s">
        <v>1139</v>
      </c>
      <c r="E32" s="14" t="s">
        <v>1103</v>
      </c>
    </row>
    <row r="33" customFormat="false" ht="14.25" hidden="false" customHeight="true" outlineLevel="0" collapsed="false">
      <c r="A33" s="14" t="s">
        <v>1140</v>
      </c>
      <c r="B33" s="14" t="s">
        <v>56</v>
      </c>
      <c r="C33" s="14" t="s">
        <v>57</v>
      </c>
      <c r="D33" s="14" t="s">
        <v>55</v>
      </c>
      <c r="E33" s="14" t="s">
        <v>1103</v>
      </c>
    </row>
    <row r="34" customFormat="false" ht="14.25" hidden="false" customHeight="true" outlineLevel="0" collapsed="false">
      <c r="A34" s="14" t="s">
        <v>1141</v>
      </c>
      <c r="B34" s="14" t="s">
        <v>56</v>
      </c>
      <c r="C34" s="14" t="s">
        <v>57</v>
      </c>
      <c r="D34" s="14" t="s">
        <v>55</v>
      </c>
      <c r="E34" s="14" t="s">
        <v>1103</v>
      </c>
    </row>
    <row r="35" customFormat="false" ht="14.25" hidden="false" customHeight="true" outlineLevel="0" collapsed="false">
      <c r="A35" s="14" t="s">
        <v>1142</v>
      </c>
      <c r="B35" s="14" t="s">
        <v>187</v>
      </c>
      <c r="C35" s="14" t="s">
        <v>188</v>
      </c>
      <c r="D35" s="14" t="s">
        <v>321</v>
      </c>
      <c r="E35" s="14" t="s">
        <v>1103</v>
      </c>
    </row>
    <row r="36" customFormat="false" ht="14.25" hidden="false" customHeight="true" outlineLevel="0" collapsed="false">
      <c r="A36" s="14" t="s">
        <v>1143</v>
      </c>
      <c r="B36" s="14" t="s">
        <v>187</v>
      </c>
      <c r="C36" s="14" t="s">
        <v>188</v>
      </c>
      <c r="D36" s="14" t="s">
        <v>321</v>
      </c>
      <c r="E36" s="14" t="s">
        <v>1103</v>
      </c>
    </row>
    <row r="37" customFormat="false" ht="14.25" hidden="false" customHeight="true" outlineLevel="0" collapsed="false">
      <c r="A37" s="14" t="s">
        <v>1144</v>
      </c>
      <c r="B37" s="14" t="s">
        <v>187</v>
      </c>
      <c r="C37" s="14" t="s">
        <v>188</v>
      </c>
      <c r="D37" s="14" t="s">
        <v>186</v>
      </c>
      <c r="E37" s="14" t="s">
        <v>1103</v>
      </c>
    </row>
    <row r="38" customFormat="false" ht="14.25" hidden="false" customHeight="true" outlineLevel="0" collapsed="false">
      <c r="A38" s="14" t="s">
        <v>1145</v>
      </c>
      <c r="B38" s="14" t="s">
        <v>187</v>
      </c>
      <c r="C38" s="14" t="s">
        <v>188</v>
      </c>
      <c r="D38" s="14" t="s">
        <v>186</v>
      </c>
      <c r="E38" s="14" t="s">
        <v>1103</v>
      </c>
    </row>
    <row r="39" customFormat="false" ht="14.25" hidden="false" customHeight="true" outlineLevel="0" collapsed="false">
      <c r="A39" s="14" t="s">
        <v>1146</v>
      </c>
      <c r="B39" s="14" t="s">
        <v>519</v>
      </c>
      <c r="C39" s="14" t="s">
        <v>520</v>
      </c>
      <c r="D39" s="14" t="s">
        <v>518</v>
      </c>
      <c r="E39" s="14" t="s">
        <v>1147</v>
      </c>
    </row>
    <row r="40" customFormat="false" ht="14.25" hidden="false" customHeight="true" outlineLevel="0" collapsed="false">
      <c r="A40" s="14" t="s">
        <v>1148</v>
      </c>
      <c r="B40" s="14" t="s">
        <v>519</v>
      </c>
      <c r="C40" s="14" t="s">
        <v>520</v>
      </c>
      <c r="D40" s="14" t="s">
        <v>518</v>
      </c>
      <c r="E40" s="14" t="s">
        <v>1147</v>
      </c>
    </row>
    <row r="41" customFormat="false" ht="14.25" hidden="false" customHeight="true" outlineLevel="0" collapsed="false">
      <c r="A41" s="14" t="s">
        <v>1149</v>
      </c>
      <c r="B41" s="14" t="s">
        <v>519</v>
      </c>
      <c r="C41" s="14" t="s">
        <v>520</v>
      </c>
      <c r="D41" s="14" t="s">
        <v>518</v>
      </c>
      <c r="E41" s="14" t="s">
        <v>1147</v>
      </c>
    </row>
    <row r="42" customFormat="false" ht="14.25" hidden="false" customHeight="true" outlineLevel="0" collapsed="false">
      <c r="A42" s="14" t="s">
        <v>1150</v>
      </c>
      <c r="B42" s="14" t="s">
        <v>519</v>
      </c>
      <c r="C42" s="14" t="s">
        <v>520</v>
      </c>
      <c r="D42" s="14" t="s">
        <v>642</v>
      </c>
      <c r="E42" s="14" t="s">
        <v>1147</v>
      </c>
    </row>
    <row r="43" customFormat="false" ht="14.25" hidden="false" customHeight="true" outlineLevel="0" collapsed="false">
      <c r="A43" s="14" t="s">
        <v>1151</v>
      </c>
      <c r="B43" s="14" t="s">
        <v>268</v>
      </c>
      <c r="C43" s="14" t="s">
        <v>269</v>
      </c>
      <c r="D43" s="14" t="s">
        <v>267</v>
      </c>
      <c r="E43" s="14" t="s">
        <v>1147</v>
      </c>
    </row>
    <row r="44" customFormat="false" ht="14.25" hidden="false" customHeight="true" outlineLevel="0" collapsed="false">
      <c r="A44" s="14" t="s">
        <v>1152</v>
      </c>
      <c r="B44" s="14" t="s">
        <v>268</v>
      </c>
      <c r="C44" s="14" t="s">
        <v>269</v>
      </c>
      <c r="D44" s="14" t="s">
        <v>267</v>
      </c>
      <c r="E44" s="14" t="s">
        <v>1147</v>
      </c>
    </row>
    <row r="45" customFormat="false" ht="14.25" hidden="false" customHeight="true" outlineLevel="0" collapsed="false">
      <c r="A45" s="14" t="s">
        <v>1153</v>
      </c>
      <c r="B45" s="14" t="s">
        <v>268</v>
      </c>
      <c r="C45" s="14" t="s">
        <v>269</v>
      </c>
      <c r="D45" s="14" t="s">
        <v>267</v>
      </c>
      <c r="E45" s="14" t="s">
        <v>1147</v>
      </c>
    </row>
    <row r="46" customFormat="false" ht="14.25" hidden="false" customHeight="true" outlineLevel="0" collapsed="false">
      <c r="A46" s="14" t="s">
        <v>1154</v>
      </c>
      <c r="B46" s="14" t="s">
        <v>268</v>
      </c>
      <c r="C46" s="14" t="s">
        <v>269</v>
      </c>
      <c r="D46" s="14" t="s">
        <v>1155</v>
      </c>
      <c r="E46" s="14" t="s">
        <v>1147</v>
      </c>
    </row>
    <row r="47" customFormat="false" ht="14.25" hidden="false" customHeight="true" outlineLevel="0" collapsed="false">
      <c r="A47" s="14" t="s">
        <v>1156</v>
      </c>
      <c r="B47" s="14" t="s">
        <v>157</v>
      </c>
      <c r="C47" s="14" t="s">
        <v>158</v>
      </c>
      <c r="D47" s="14" t="s">
        <v>156</v>
      </c>
      <c r="E47" s="14" t="s">
        <v>1147</v>
      </c>
    </row>
    <row r="48" customFormat="false" ht="14.25" hidden="false" customHeight="true" outlineLevel="0" collapsed="false">
      <c r="A48" s="14" t="s">
        <v>1157</v>
      </c>
      <c r="B48" s="14" t="s">
        <v>157</v>
      </c>
      <c r="C48" s="14" t="s">
        <v>158</v>
      </c>
      <c r="D48" s="14" t="s">
        <v>156</v>
      </c>
      <c r="E48" s="14" t="s">
        <v>1147</v>
      </c>
    </row>
    <row r="49" customFormat="false" ht="14.25" hidden="false" customHeight="true" outlineLevel="0" collapsed="false">
      <c r="A49" s="14" t="s">
        <v>1158</v>
      </c>
      <c r="B49" s="14" t="s">
        <v>157</v>
      </c>
      <c r="C49" s="14" t="s">
        <v>158</v>
      </c>
      <c r="D49" s="14" t="s">
        <v>156</v>
      </c>
      <c r="E49" s="14" t="s">
        <v>1147</v>
      </c>
    </row>
    <row r="50" customFormat="false" ht="14.25" hidden="false" customHeight="true" outlineLevel="0" collapsed="false">
      <c r="A50" s="14" t="s">
        <v>1159</v>
      </c>
      <c r="B50" s="14" t="s">
        <v>165</v>
      </c>
      <c r="C50" s="14" t="s">
        <v>166</v>
      </c>
      <c r="D50" s="14" t="s">
        <v>164</v>
      </c>
      <c r="E50" s="14" t="s">
        <v>1147</v>
      </c>
    </row>
    <row r="51" customFormat="false" ht="14.25" hidden="false" customHeight="true" outlineLevel="0" collapsed="false">
      <c r="A51" s="14" t="s">
        <v>1160</v>
      </c>
      <c r="B51" s="14" t="s">
        <v>165</v>
      </c>
      <c r="C51" s="14" t="s">
        <v>166</v>
      </c>
      <c r="D51" s="14" t="s">
        <v>164</v>
      </c>
      <c r="E51" s="14" t="s">
        <v>1147</v>
      </c>
    </row>
    <row r="52" customFormat="false" ht="14.25" hidden="false" customHeight="true" outlineLevel="0" collapsed="false">
      <c r="A52" s="14" t="s">
        <v>1161</v>
      </c>
      <c r="B52" s="14" t="s">
        <v>71</v>
      </c>
      <c r="C52" s="14" t="s">
        <v>72</v>
      </c>
      <c r="D52" s="14" t="s">
        <v>70</v>
      </c>
      <c r="E52" s="14" t="s">
        <v>1147</v>
      </c>
    </row>
    <row r="53" customFormat="false" ht="14.25" hidden="false" customHeight="true" outlineLevel="0" collapsed="false">
      <c r="A53" s="14" t="s">
        <v>1162</v>
      </c>
      <c r="B53" s="14" t="s">
        <v>71</v>
      </c>
      <c r="C53" s="14" t="s">
        <v>72</v>
      </c>
      <c r="D53" s="14" t="s">
        <v>70</v>
      </c>
      <c r="E53" s="14" t="s">
        <v>1147</v>
      </c>
    </row>
    <row r="54" customFormat="false" ht="14.25" hidden="false" customHeight="true" outlineLevel="0" collapsed="false">
      <c r="A54" s="14" t="s">
        <v>1163</v>
      </c>
      <c r="B54" s="14" t="s">
        <v>492</v>
      </c>
      <c r="C54" s="14" t="s">
        <v>493</v>
      </c>
      <c r="D54" s="14" t="s">
        <v>491</v>
      </c>
      <c r="E54" s="14" t="s">
        <v>1164</v>
      </c>
    </row>
    <row r="55" customFormat="false" ht="14.25" hidden="false" customHeight="true" outlineLevel="0" collapsed="false">
      <c r="A55" s="14" t="s">
        <v>1165</v>
      </c>
      <c r="B55" s="14" t="s">
        <v>492</v>
      </c>
      <c r="C55" s="14" t="s">
        <v>493</v>
      </c>
      <c r="D55" s="14" t="s">
        <v>491</v>
      </c>
      <c r="E55" s="14" t="s">
        <v>1164</v>
      </c>
    </row>
    <row r="56" customFormat="false" ht="14.25" hidden="false" customHeight="true" outlineLevel="0" collapsed="false">
      <c r="A56" s="14" t="s">
        <v>1166</v>
      </c>
      <c r="B56" s="14" t="s">
        <v>492</v>
      </c>
      <c r="C56" s="14" t="s">
        <v>493</v>
      </c>
      <c r="D56" s="14" t="s">
        <v>1085</v>
      </c>
      <c r="E56" s="14" t="s">
        <v>1164</v>
      </c>
    </row>
    <row r="57" customFormat="false" ht="14.25" hidden="false" customHeight="true" outlineLevel="0" collapsed="false">
      <c r="A57" s="14" t="s">
        <v>1167</v>
      </c>
      <c r="B57" s="14" t="s">
        <v>314</v>
      </c>
      <c r="C57" s="14" t="s">
        <v>315</v>
      </c>
      <c r="D57" s="14" t="s">
        <v>313</v>
      </c>
      <c r="E57" s="14" t="s">
        <v>1168</v>
      </c>
    </row>
    <row r="58" customFormat="false" ht="14.25" hidden="false" customHeight="true" outlineLevel="0" collapsed="false">
      <c r="A58" s="14" t="s">
        <v>1169</v>
      </c>
      <c r="B58" s="14" t="s">
        <v>314</v>
      </c>
      <c r="C58" s="14" t="s">
        <v>315</v>
      </c>
      <c r="D58" s="14" t="s">
        <v>313</v>
      </c>
      <c r="E58" s="14" t="s">
        <v>1168</v>
      </c>
    </row>
    <row r="59" customFormat="false" ht="14.25" hidden="false" customHeight="true" outlineLevel="0" collapsed="false">
      <c r="A59" s="14" t="s">
        <v>1170</v>
      </c>
      <c r="B59" s="14" t="s">
        <v>174</v>
      </c>
      <c r="C59" s="14" t="s">
        <v>175</v>
      </c>
      <c r="D59" s="14" t="s">
        <v>1171</v>
      </c>
      <c r="E59" s="14" t="s">
        <v>1117</v>
      </c>
    </row>
    <row r="60" customFormat="false" ht="14.25" hidden="false" customHeight="true" outlineLevel="0" collapsed="false">
      <c r="A60" s="14" t="s">
        <v>1172</v>
      </c>
      <c r="B60" s="14" t="s">
        <v>174</v>
      </c>
      <c r="C60" s="14" t="s">
        <v>175</v>
      </c>
      <c r="D60" s="14" t="s">
        <v>173</v>
      </c>
      <c r="E60" s="14" t="s">
        <v>1117</v>
      </c>
    </row>
    <row r="61" customFormat="false" ht="14.25" hidden="false" customHeight="true" outlineLevel="0" collapsed="false">
      <c r="A61" s="14" t="s">
        <v>1173</v>
      </c>
      <c r="B61" s="14" t="s">
        <v>254</v>
      </c>
      <c r="C61" s="14" t="s">
        <v>255</v>
      </c>
      <c r="D61" s="14" t="s">
        <v>1174</v>
      </c>
      <c r="E61" s="14" t="s">
        <v>1117</v>
      </c>
    </row>
    <row r="62" customFormat="false" ht="14.25" hidden="false" customHeight="true" outlineLevel="0" collapsed="false">
      <c r="A62" s="14" t="s">
        <v>1175</v>
      </c>
      <c r="B62" s="14" t="s">
        <v>254</v>
      </c>
      <c r="C62" s="14" t="s">
        <v>255</v>
      </c>
      <c r="D62" s="14" t="s">
        <v>1176</v>
      </c>
      <c r="E62" s="14" t="s">
        <v>1117</v>
      </c>
    </row>
    <row r="63" customFormat="false" ht="14.25" hidden="false" customHeight="true" outlineLevel="0" collapsed="false">
      <c r="A63" s="14" t="s">
        <v>1177</v>
      </c>
      <c r="B63" s="14" t="s">
        <v>254</v>
      </c>
      <c r="C63" s="14" t="s">
        <v>255</v>
      </c>
      <c r="D63" s="14" t="s">
        <v>253</v>
      </c>
      <c r="E63" s="14" t="s">
        <v>1117</v>
      </c>
    </row>
    <row r="64" customFormat="false" ht="14.25" hidden="false" customHeight="true" outlineLevel="0" collapsed="false">
      <c r="A64" s="14" t="s">
        <v>1178</v>
      </c>
      <c r="B64" s="14" t="s">
        <v>254</v>
      </c>
      <c r="C64" s="14" t="s">
        <v>255</v>
      </c>
      <c r="D64" s="14" t="s">
        <v>253</v>
      </c>
      <c r="E64" s="14" t="s">
        <v>1117</v>
      </c>
    </row>
    <row r="65" customFormat="false" ht="14.25" hidden="false" customHeight="true" outlineLevel="0" collapsed="false">
      <c r="A65" s="14" t="s">
        <v>1179</v>
      </c>
      <c r="B65" s="14" t="s">
        <v>254</v>
      </c>
      <c r="C65" s="14" t="s">
        <v>255</v>
      </c>
      <c r="D65" s="14" t="s">
        <v>253</v>
      </c>
      <c r="E65" s="14" t="s">
        <v>1117</v>
      </c>
    </row>
    <row r="66" customFormat="false" ht="14.25" hidden="false" customHeight="true" outlineLevel="0" collapsed="false">
      <c r="A66" s="14" t="s">
        <v>1180</v>
      </c>
      <c r="B66" s="14" t="s">
        <v>88</v>
      </c>
      <c r="C66" s="14" t="s">
        <v>89</v>
      </c>
      <c r="D66" s="14" t="s">
        <v>140</v>
      </c>
      <c r="E66" s="14" t="s">
        <v>1117</v>
      </c>
    </row>
    <row r="67" customFormat="false" ht="14.25" hidden="false" customHeight="true" outlineLevel="0" collapsed="false">
      <c r="A67" s="14" t="s">
        <v>1181</v>
      </c>
      <c r="B67" s="14" t="s">
        <v>88</v>
      </c>
      <c r="C67" s="14" t="s">
        <v>89</v>
      </c>
      <c r="D67" s="14" t="s">
        <v>140</v>
      </c>
      <c r="E67" s="14" t="s">
        <v>1117</v>
      </c>
    </row>
    <row r="68" customFormat="false" ht="14.25" hidden="false" customHeight="true" outlineLevel="0" collapsed="false">
      <c r="A68" s="14" t="s">
        <v>1182</v>
      </c>
      <c r="B68" s="14" t="s">
        <v>88</v>
      </c>
      <c r="C68" s="14" t="s">
        <v>89</v>
      </c>
      <c r="D68" s="14" t="s">
        <v>87</v>
      </c>
      <c r="E68" s="14" t="s">
        <v>1117</v>
      </c>
    </row>
    <row r="69" customFormat="false" ht="14.25" hidden="false" customHeight="true" outlineLevel="0" collapsed="false">
      <c r="A69" s="14" t="s">
        <v>1183</v>
      </c>
      <c r="B69" s="14" t="s">
        <v>88</v>
      </c>
      <c r="C69" s="14" t="s">
        <v>89</v>
      </c>
      <c r="D69" s="14" t="s">
        <v>87</v>
      </c>
      <c r="E69" s="14" t="s">
        <v>1117</v>
      </c>
    </row>
    <row r="70" customFormat="false" ht="14.25" hidden="false" customHeight="true" outlineLevel="0" collapsed="false">
      <c r="A70" s="14" t="s">
        <v>1184</v>
      </c>
      <c r="B70" s="14" t="s">
        <v>1185</v>
      </c>
      <c r="C70" s="14" t="s">
        <v>1186</v>
      </c>
      <c r="D70" s="14" t="s">
        <v>1187</v>
      </c>
      <c r="E70" s="14" t="s">
        <v>1117</v>
      </c>
    </row>
    <row r="71" customFormat="false" ht="14.25" hidden="false" customHeight="true" outlineLevel="0" collapsed="false">
      <c r="A71" s="14" t="s">
        <v>1188</v>
      </c>
      <c r="B71" s="14" t="s">
        <v>1185</v>
      </c>
      <c r="C71" s="14" t="s">
        <v>1186</v>
      </c>
      <c r="D71" s="14" t="s">
        <v>1189</v>
      </c>
      <c r="E71" s="14" t="s">
        <v>1117</v>
      </c>
    </row>
    <row r="72" customFormat="false" ht="14.25" hidden="false" customHeight="true" outlineLevel="0" collapsed="false">
      <c r="A72" s="14" t="s">
        <v>1190</v>
      </c>
      <c r="B72" s="14" t="s">
        <v>1185</v>
      </c>
      <c r="C72" s="14" t="s">
        <v>1186</v>
      </c>
      <c r="D72" s="14" t="s">
        <v>1189</v>
      </c>
      <c r="E72" s="14" t="s">
        <v>1117</v>
      </c>
    </row>
    <row r="73" customFormat="false" ht="14.25" hidden="false" customHeight="true" outlineLevel="0" collapsed="false">
      <c r="A73" s="14" t="s">
        <v>1191</v>
      </c>
      <c r="B73" s="14" t="s">
        <v>1192</v>
      </c>
      <c r="C73" s="14" t="s">
        <v>1193</v>
      </c>
      <c r="D73" s="14" t="s">
        <v>1194</v>
      </c>
      <c r="E73" s="14" t="s">
        <v>1168</v>
      </c>
    </row>
    <row r="74" customFormat="false" ht="14.25" hidden="false" customHeight="true" outlineLevel="0" collapsed="false">
      <c r="A74" s="14" t="s">
        <v>1195</v>
      </c>
      <c r="B74" s="14" t="s">
        <v>1192</v>
      </c>
      <c r="C74" s="14" t="s">
        <v>1193</v>
      </c>
      <c r="D74" s="14" t="s">
        <v>1194</v>
      </c>
      <c r="E74" s="14" t="s">
        <v>1168</v>
      </c>
    </row>
    <row r="75" customFormat="false" ht="14.25" hidden="false" customHeight="true" outlineLevel="0" collapsed="false">
      <c r="A75" s="14" t="s">
        <v>1196</v>
      </c>
      <c r="B75" s="14" t="s">
        <v>934</v>
      </c>
      <c r="C75" s="14" t="s">
        <v>935</v>
      </c>
      <c r="D75" s="14" t="s">
        <v>1197</v>
      </c>
      <c r="E75" s="14" t="s">
        <v>1168</v>
      </c>
    </row>
    <row r="76" customFormat="false" ht="14.25" hidden="false" customHeight="true" outlineLevel="0" collapsed="false">
      <c r="A76" s="14" t="s">
        <v>1198</v>
      </c>
      <c r="B76" s="14" t="s">
        <v>582</v>
      </c>
      <c r="C76" s="14" t="s">
        <v>583</v>
      </c>
      <c r="D76" s="14" t="s">
        <v>581</v>
      </c>
      <c r="E76" s="14" t="s">
        <v>1168</v>
      </c>
    </row>
    <row r="77" customFormat="false" ht="14.25" hidden="false" customHeight="true" outlineLevel="0" collapsed="false">
      <c r="A77" s="14" t="s">
        <v>1199</v>
      </c>
      <c r="B77" s="14" t="s">
        <v>582</v>
      </c>
      <c r="C77" s="14" t="s">
        <v>583</v>
      </c>
      <c r="D77" s="14" t="s">
        <v>1200</v>
      </c>
      <c r="E77" s="14" t="s">
        <v>1168</v>
      </c>
    </row>
    <row r="78" customFormat="false" ht="14.25" hidden="false" customHeight="true" outlineLevel="0" collapsed="false">
      <c r="A78" s="14" t="s">
        <v>1201</v>
      </c>
      <c r="B78" s="14" t="s">
        <v>934</v>
      </c>
      <c r="C78" s="14" t="s">
        <v>935</v>
      </c>
      <c r="D78" s="14" t="s">
        <v>1197</v>
      </c>
      <c r="E78" s="14" t="s">
        <v>1168</v>
      </c>
    </row>
    <row r="79" customFormat="false" ht="14.25" hidden="false" customHeight="true" outlineLevel="0" collapsed="false">
      <c r="A79" s="14" t="s">
        <v>1202</v>
      </c>
      <c r="B79" s="14" t="s">
        <v>934</v>
      </c>
      <c r="C79" s="14" t="s">
        <v>935</v>
      </c>
      <c r="D79" s="14" t="s">
        <v>933</v>
      </c>
      <c r="E79" s="14" t="s">
        <v>1168</v>
      </c>
    </row>
    <row r="80" customFormat="false" ht="14.25" hidden="false" customHeight="true" outlineLevel="0" collapsed="false">
      <c r="A80" s="14" t="s">
        <v>1203</v>
      </c>
      <c r="B80" s="14" t="s">
        <v>831</v>
      </c>
      <c r="C80" s="14" t="s">
        <v>832</v>
      </c>
      <c r="D80" s="14" t="s">
        <v>830</v>
      </c>
      <c r="E80" s="14" t="s">
        <v>1164</v>
      </c>
    </row>
    <row r="81" customFormat="false" ht="14.25" hidden="false" customHeight="true" outlineLevel="0" collapsed="false">
      <c r="A81" s="14" t="s">
        <v>1204</v>
      </c>
      <c r="B81" s="14" t="s">
        <v>831</v>
      </c>
      <c r="C81" s="14" t="s">
        <v>832</v>
      </c>
      <c r="D81" s="14" t="s">
        <v>830</v>
      </c>
      <c r="E81" s="14" t="s">
        <v>1164</v>
      </c>
    </row>
    <row r="82" customFormat="false" ht="14.25" hidden="false" customHeight="true" outlineLevel="0" collapsed="false">
      <c r="A82" s="14" t="s">
        <v>1205</v>
      </c>
      <c r="B82" s="14" t="s">
        <v>165</v>
      </c>
      <c r="C82" s="14" t="s">
        <v>166</v>
      </c>
      <c r="D82" s="14" t="s">
        <v>480</v>
      </c>
      <c r="E82" s="14" t="s">
        <v>1147</v>
      </c>
    </row>
    <row r="83" customFormat="false" ht="14.25" hidden="false" customHeight="true" outlineLevel="0" collapsed="false">
      <c r="A83" s="14" t="s">
        <v>1206</v>
      </c>
      <c r="B83" s="14" t="s">
        <v>492</v>
      </c>
      <c r="C83" s="14" t="s">
        <v>493</v>
      </c>
      <c r="D83" s="14" t="s">
        <v>1085</v>
      </c>
      <c r="E83" s="14" t="s">
        <v>1164</v>
      </c>
    </row>
    <row r="84" customFormat="false" ht="14.25" hidden="false" customHeight="true" outlineLevel="0" collapsed="false">
      <c r="A84" s="14" t="s">
        <v>1207</v>
      </c>
      <c r="B84" s="14" t="s">
        <v>254</v>
      </c>
      <c r="C84" s="14" t="s">
        <v>255</v>
      </c>
      <c r="D84" s="14" t="s">
        <v>1208</v>
      </c>
      <c r="E84" s="14" t="s">
        <v>1117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8" min="1" style="1" width="28"/>
  </cols>
  <sheetData>
    <row r="1" customFormat="false" ht="14.25" hidden="false" customHeight="true" outlineLevel="0" collapsed="false">
      <c r="A1" s="15" t="s">
        <v>2</v>
      </c>
      <c r="B1" s="15" t="s">
        <v>10</v>
      </c>
      <c r="C1" s="15" t="s">
        <v>11</v>
      </c>
      <c r="D1" s="15" t="s">
        <v>14</v>
      </c>
      <c r="E1" s="15" t="s">
        <v>1209</v>
      </c>
      <c r="F1" s="15" t="s">
        <v>18</v>
      </c>
      <c r="G1" s="15" t="s">
        <v>45</v>
      </c>
      <c r="H1" s="15" t="s">
        <v>48</v>
      </c>
    </row>
    <row r="2" customFormat="false" ht="14.25" hidden="false" customHeight="true" outlineLevel="0" collapsed="false">
      <c r="A2" s="16" t="s">
        <v>52</v>
      </c>
      <c r="B2" s="16" t="s">
        <v>197</v>
      </c>
      <c r="C2" s="16" t="s">
        <v>59</v>
      </c>
      <c r="D2" s="16" t="s">
        <v>1210</v>
      </c>
      <c r="E2" s="16" t="s">
        <v>1211</v>
      </c>
      <c r="F2" s="16" t="s">
        <v>1212</v>
      </c>
      <c r="G2" s="16" t="s">
        <v>1211</v>
      </c>
      <c r="H2" s="16" t="s">
        <v>1213</v>
      </c>
    </row>
    <row r="3" customFormat="false" ht="14.25" hidden="false" customHeight="true" outlineLevel="0" collapsed="false">
      <c r="A3" s="16" t="s">
        <v>1214</v>
      </c>
      <c r="B3" s="16" t="s">
        <v>1215</v>
      </c>
      <c r="C3" s="16" t="s">
        <v>197</v>
      </c>
      <c r="D3" s="16" t="s">
        <v>60</v>
      </c>
      <c r="E3" s="16" t="s">
        <v>66</v>
      </c>
      <c r="F3" s="16" t="s">
        <v>1216</v>
      </c>
      <c r="G3" s="16" t="s">
        <v>66</v>
      </c>
      <c r="H3" s="16" t="s">
        <v>1217</v>
      </c>
    </row>
    <row r="4" customFormat="false" ht="14.25" hidden="false" customHeight="true" outlineLevel="0" collapsed="false">
      <c r="A4" s="16" t="s">
        <v>1218</v>
      </c>
      <c r="B4" s="16" t="s">
        <v>414</v>
      </c>
      <c r="C4" s="16" t="s">
        <v>1219</v>
      </c>
      <c r="D4" s="16" t="s">
        <v>1220</v>
      </c>
      <c r="E4" s="16" t="s">
        <v>1221</v>
      </c>
      <c r="F4" s="16" t="s">
        <v>1222</v>
      </c>
    </row>
    <row r="5" customFormat="false" ht="14.25" hidden="false" customHeight="true" outlineLevel="0" collapsed="false">
      <c r="A5" s="16" t="s">
        <v>1223</v>
      </c>
      <c r="B5" s="16" t="s">
        <v>1224</v>
      </c>
      <c r="C5" s="16" t="s">
        <v>1225</v>
      </c>
      <c r="D5" s="16" t="s">
        <v>1226</v>
      </c>
      <c r="F5" s="16" t="s">
        <v>1227</v>
      </c>
    </row>
    <row r="6" customFormat="false" ht="14.25" hidden="false" customHeight="true" outlineLevel="0" collapsed="false">
      <c r="A6" s="16" t="s">
        <v>1228</v>
      </c>
      <c r="B6" s="16" t="s">
        <v>1071</v>
      </c>
      <c r="C6" s="16" t="s">
        <v>1229</v>
      </c>
      <c r="D6" s="16" t="s">
        <v>1230</v>
      </c>
    </row>
    <row r="7" customFormat="false" ht="14.25" hidden="false" customHeight="true" outlineLevel="0" collapsed="false">
      <c r="A7" s="16" t="s">
        <v>1231</v>
      </c>
      <c r="B7" s="16" t="s">
        <v>399</v>
      </c>
      <c r="C7" s="16" t="s">
        <v>112</v>
      </c>
    </row>
    <row r="8" customFormat="false" ht="14.25" hidden="false" customHeight="true" outlineLevel="0" collapsed="false">
      <c r="A8" s="16" t="s">
        <v>1232</v>
      </c>
      <c r="B8" s="16" t="s">
        <v>123</v>
      </c>
      <c r="C8" s="16" t="s">
        <v>1233</v>
      </c>
    </row>
    <row r="9" customFormat="false" ht="14.25" hidden="false" customHeight="true" outlineLevel="0" collapsed="false">
      <c r="A9" s="16" t="s">
        <v>1227</v>
      </c>
      <c r="B9" s="16" t="s">
        <v>102</v>
      </c>
      <c r="C9" s="16" t="s">
        <v>1234</v>
      </c>
    </row>
    <row r="10" customFormat="false" ht="14.25" hidden="false" customHeight="true" outlineLevel="0" collapsed="false">
      <c r="B10" s="16" t="s">
        <v>241</v>
      </c>
      <c r="C10" s="16" t="s">
        <v>247</v>
      </c>
    </row>
    <row r="11" customFormat="false" ht="14.25" hidden="false" customHeight="true" outlineLevel="0" collapsed="false">
      <c r="B11" s="16" t="s">
        <v>589</v>
      </c>
      <c r="C11" s="16" t="s">
        <v>1235</v>
      </c>
    </row>
    <row r="12" customFormat="false" ht="14.25" hidden="false" customHeight="true" outlineLevel="0" collapsed="false">
      <c r="B12" s="16" t="s">
        <v>927</v>
      </c>
      <c r="C12" s="16" t="s">
        <v>1227</v>
      </c>
    </row>
    <row r="13" customFormat="false" ht="14.25" hidden="false" customHeight="true" outlineLevel="0" collapsed="false">
      <c r="B13" s="16" t="s">
        <v>1236</v>
      </c>
    </row>
    <row r="14" customFormat="false" ht="14.25" hidden="false" customHeight="true" outlineLevel="0" collapsed="false">
      <c r="B14" s="16" t="s">
        <v>1237</v>
      </c>
    </row>
    <row r="15" customFormat="false" ht="14.25" hidden="false" customHeight="true" outlineLevel="0" collapsed="false">
      <c r="B15" s="16" t="s">
        <v>1238</v>
      </c>
    </row>
    <row r="16" customFormat="false" ht="14.25" hidden="false" customHeight="true" outlineLevel="0" collapsed="false">
      <c r="B16" s="16" t="s">
        <v>1239</v>
      </c>
    </row>
    <row r="17" customFormat="false" ht="14.25" hidden="false" customHeight="true" outlineLevel="0" collapsed="false">
      <c r="B17" s="16" t="s">
        <v>1240</v>
      </c>
    </row>
    <row r="18" customFormat="false" ht="14.25" hidden="false" customHeight="true" outlineLevel="0" collapsed="false">
      <c r="B18" s="16" t="s">
        <v>1227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0"/>
  </cols>
  <sheetData>
    <row r="1" customFormat="false" ht="15" hidden="false" customHeight="true" outlineLevel="0" collapsed="false">
      <c r="A1" s="1" t="s">
        <v>1241</v>
      </c>
      <c r="B1" s="1" t="s">
        <v>1242</v>
      </c>
    </row>
    <row r="2" customFormat="false" ht="15" hidden="false" customHeight="true" outlineLevel="0" collapsed="false">
      <c r="A2" s="1" t="s">
        <v>1243</v>
      </c>
      <c r="B2" s="1" t="s">
        <v>1244</v>
      </c>
    </row>
    <row r="3" customFormat="false" ht="15" hidden="false" customHeight="true" outlineLevel="0" collapsed="false">
      <c r="A3" s="1" t="s">
        <v>1245</v>
      </c>
      <c r="B3" s="1" t="s">
        <v>1246</v>
      </c>
    </row>
    <row r="4" customFormat="false" ht="15" hidden="false" customHeight="true" outlineLevel="0" collapsed="false">
      <c r="A4" s="1" t="s">
        <v>1247</v>
      </c>
      <c r="B4" s="1" t="s">
        <v>1248</v>
      </c>
    </row>
    <row r="5" customFormat="false" ht="15" hidden="false" customHeight="true" outlineLevel="0" collapsed="false">
      <c r="A5" s="1" t="s">
        <v>1249</v>
      </c>
      <c r="B5" s="1" t="s">
        <v>1250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2026-07-15T07:17:19Z</dcterms:created>
  <dc:creator>openpyxl</dc:creator>
  <dc:description/>
  <dc:language>en-US</dc:language>
  <cp:lastModifiedBy>The Digital Systems Architect</cp:lastModifiedBy>
  <dcterms:modified xsi:type="dcterms:W3CDTF">2026-10-19T11:07:08Z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